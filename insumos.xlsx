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 de Recursos" sheetId="1" state="visible" r:id="rId3"/>
    <sheet name="Inventario de Materiales" sheetId="2" state="visible" r:id="rId4"/>
    <sheet name="Estados de Solicitudes" sheetId="3" state="visible" r:id="rId5"/>
    <sheet name="Tiempos de Produccion" sheetId="4" state="visible" r:id="rId6"/>
    <sheet name="Satisfaccion de Instituciones" sheetId="5" state="visible" r:id="rId7"/>
    <sheet name="Satisfaccion de Clientes" sheetId="6" state="visible" r:id="rId8"/>
    <sheet name="Inventario de Productos" sheetId="7" state="visible" r:id="rId9"/>
    <sheet name="Catalogo Modelos 3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<sst xmlns="http://schemas.openxmlformats.org/spreadsheetml/2006/main" count="1007" uniqueCount="525">
  <si>
    <t xml:space="preserve">CATALOGO DE RECURSOS DIDACTICOS Y DE ACCESIBILIDAD 3D - ANDES</t>
  </si>
  <si>
    <t xml:space="preserve">Inventario centralizado de materiales imprimibles para uso educativo e inclusivo</t>
  </si>
  <si>
    <t xml:space="preserve">ID Recurso</t>
  </si>
  <si>
    <t xml:space="preserve">Nombre del Recurso</t>
  </si>
  <si>
    <t xml:space="preserve">Descripcion</t>
  </si>
  <si>
    <t xml:space="preserve">Material Recomendado</t>
  </si>
  <si>
    <t xml:space="preserve">Costo Estimado (COP)</t>
  </si>
  <si>
    <t xml:space="preserve">Categoria</t>
  </si>
  <si>
    <t xml:space="preserve">Poblacion Objetivo</t>
  </si>
  <si>
    <t xml:space="preserve">Archivo STL</t>
  </si>
  <si>
    <t xml:space="preserve">RD-001</t>
  </si>
  <si>
    <t xml:space="preserve">Abecedario Braille Modular</t>
  </si>
  <si>
    <t xml:space="preserve">Letras del alfabeto en relieve con sistema braille integrado, piezas individuales ensamblables</t>
  </si>
  <si>
    <t xml:space="preserve">PLA</t>
  </si>
  <si>
    <t xml:space="preserve">Accesibilidad Visual</t>
  </si>
  <si>
    <t xml:space="preserve">Personas con discapacidad visual</t>
  </si>
  <si>
    <t xml:space="preserve">abecedario_braille_v2.stl</t>
  </si>
  <si>
    <t xml:space="preserve">RD-002</t>
  </si>
  <si>
    <t xml:space="preserve">Figuras Geometricas Tactiles</t>
  </si>
  <si>
    <t xml:space="preserve">Set de 10 figuras geometricas con textura diferenciada por forma, para ensenanza tactil</t>
  </si>
  <si>
    <t xml:space="preserve">TPU</t>
  </si>
  <si>
    <t xml:space="preserve">Material Didactico</t>
  </si>
  <si>
    <t xml:space="preserve">Educacion primaria / baja vision</t>
  </si>
  <si>
    <t xml:space="preserve">geometrias_tactiles.stl</t>
  </si>
  <si>
    <t xml:space="preserve">RD-003</t>
  </si>
  <si>
    <t xml:space="preserve">Mapa de Colombia Relieve</t>
  </si>
  <si>
    <t xml:space="preserve">Mapa fisico de Colombia con departamentos en relieve, escala 1:2.500.000</t>
  </si>
  <si>
    <t xml:space="preserve">PLA+</t>
  </si>
  <si>
    <t xml:space="preserve">Educacion basica y media</t>
  </si>
  <si>
    <t xml:space="preserve">mapa_colombia_relieve.stl</t>
  </si>
  <si>
    <t xml:space="preserve">RD-004</t>
  </si>
  <si>
    <t xml:space="preserve">Teclado Braille Portatil</t>
  </si>
  <si>
    <t xml:space="preserve">Dispositivo de practica de escritura braille de 6 puntos, compatible con papel normal</t>
  </si>
  <si>
    <t xml:space="preserve">PETG</t>
  </si>
  <si>
    <t xml:space="preserve">teclado_braille_v3.stl</t>
  </si>
  <si>
    <t xml:space="preserve">RD-005</t>
  </si>
  <si>
    <t xml:space="preserve">Atomos y Moleculas Kit</t>
  </si>
  <si>
    <t xml:space="preserve">Esferas y conectores para armar modelos moleculares, 60 piezas. Quimica basica y media</t>
  </si>
  <si>
    <t xml:space="preserve">Educacion media</t>
  </si>
  <si>
    <t xml:space="preserve">kit_moleculas.stl</t>
  </si>
  <si>
    <t xml:space="preserve">RD-006</t>
  </si>
  <si>
    <t xml:space="preserve">Tablero Comunicacion AAC</t>
  </si>
  <si>
    <t xml:space="preserve">Panel de comunicacion aumentativa y alternativa con pictogramas imprimibles en relieve</t>
  </si>
  <si>
    <t xml:space="preserve">Comunicacion Aumentativa</t>
  </si>
  <si>
    <t xml:space="preserve">Personas con TEA / comunicacion limitada</t>
  </si>
  <si>
    <t xml:space="preserve">tablero_aac.stl</t>
  </si>
  <si>
    <t xml:space="preserve">RD-007</t>
  </si>
  <si>
    <t xml:space="preserve">Rompecabezas Mapa Mundi</t>
  </si>
  <si>
    <t xml:space="preserve">Planisferio desmontable por continentes, imprimible en piezas, coloreables</t>
  </si>
  <si>
    <t xml:space="preserve">Educacion primaria</t>
  </si>
  <si>
    <t xml:space="preserve">mapa_mundi_puzzle.stl</t>
  </si>
  <si>
    <t xml:space="preserve">RD-008</t>
  </si>
  <si>
    <t xml:space="preserve">Regla Tactil con Braille</t>
  </si>
  <si>
    <t xml:space="preserve">Regla de 30 cm con marcas en relieve y equivalentes en braille cada 5 mm</t>
  </si>
  <si>
    <t xml:space="preserve">regla_tactil.stl</t>
  </si>
  <si>
    <t xml:space="preserve">RD-009</t>
  </si>
  <si>
    <t xml:space="preserve">Fracciones Montessori</t>
  </si>
  <si>
    <t xml:space="preserve">Circulos fraccionarios de 1/1 a 1/10, con ranura de ensamble y soporte base</t>
  </si>
  <si>
    <t xml:space="preserve">fracciones_montessori.stl</t>
  </si>
  <si>
    <t xml:space="preserve">RD-010</t>
  </si>
  <si>
    <t xml:space="preserve">Agarre Lapiz Adaptado</t>
  </si>
  <si>
    <t xml:space="preserve">Adaptador ergonomico de lapiz para personas con dificultad motriz fina, 3 tallas</t>
  </si>
  <si>
    <t xml:space="preserve">Accesibilidad Motriz</t>
  </si>
  <si>
    <t xml:space="preserve">Personas con discapacidad motriz</t>
  </si>
  <si>
    <t xml:space="preserve">agarre_lapiz_adaptado.stl</t>
  </si>
  <si>
    <t xml:space="preserve">RD-011</t>
  </si>
  <si>
    <t xml:space="preserve">Letras Mayusculas Tactiles</t>
  </si>
  <si>
    <t xml:space="preserve">Juego de 27 letras mayusculas con relieve en tres niveles de contraste tactil</t>
  </si>
  <si>
    <t xml:space="preserve">Educacion inicial / baja vision</t>
  </si>
  <si>
    <t xml:space="preserve">letras_mayusculas_tactil.stl</t>
  </si>
  <si>
    <t xml:space="preserve">RD-012</t>
  </si>
  <si>
    <t xml:space="preserve">Reloj Didactico Desmontable</t>
  </si>
  <si>
    <t xml:space="preserve">Reloj de manecillas con piezas numeradas desmontables para ensenanza del tiempo</t>
  </si>
  <si>
    <t xml:space="preserve">reloj_didactico.stl</t>
  </si>
  <si>
    <t xml:space="preserve">RD-013</t>
  </si>
  <si>
    <t xml:space="preserve">Protractor Tactil</t>
  </si>
  <si>
    <t xml:space="preserve">Transportador de angulos con marcas en relieve cada 10 grados, diametro 15 cm</t>
  </si>
  <si>
    <t xml:space="preserve">protractor_tactil.stl</t>
  </si>
  <si>
    <t xml:space="preserve">RD-014</t>
  </si>
  <si>
    <t xml:space="preserve">Tablero de Abaco</t>
  </si>
  <si>
    <t xml:space="preserve">Abaco horizontal de 10 columnas imprimible, cuentas deslizables por riel</t>
  </si>
  <si>
    <t xml:space="preserve">abaco_10col.stl</t>
  </si>
  <si>
    <t xml:space="preserve">RD-015</t>
  </si>
  <si>
    <t xml:space="preserve">Soporte Libro Manos Libres</t>
  </si>
  <si>
    <t xml:space="preserve">Atril de escritorio para libros de texto, ajustable entre 15 y 45 grados</t>
  </si>
  <si>
    <t xml:space="preserve">soporte_libro.stl</t>
  </si>
  <si>
    <t xml:space="preserve">RD-016</t>
  </si>
  <si>
    <t xml:space="preserve">Figura Anatomica Corazon Humano</t>
  </si>
  <si>
    <t xml:space="preserve">Modelo anatomico del corazon seccionado en dos mitades ensamblables, escala real, ideal para ciencias naturales</t>
  </si>
  <si>
    <t xml:space="preserve">Figuras Didacticas</t>
  </si>
  <si>
    <t xml:space="preserve">Educacion media / Ciencias</t>
  </si>
  <si>
    <t xml:space="preserve">corazon_anatomico_v2.stl</t>
  </si>
  <si>
    <t xml:space="preserve">RD-017</t>
  </si>
  <si>
    <t xml:space="preserve">Figura Sistema Solar Escala</t>
  </si>
  <si>
    <t xml:space="preserve">Set de 8 planetas del sistema solar a escala relativa, con soporte de anillo para exhibicion</t>
  </si>
  <si>
    <t xml:space="preserve">Educacion primaria y media</t>
  </si>
  <si>
    <t xml:space="preserve">sistema_solar_set.stl</t>
  </si>
  <si>
    <t xml:space="preserve">RD-018</t>
  </si>
  <si>
    <t xml:space="preserve">Figura Celula Animal Desmontable</t>
  </si>
  <si>
    <t xml:space="preserve">Celula animal en corte transversal con 9 organulos extraibles identificados por color</t>
  </si>
  <si>
    <t xml:space="preserve">Educacion media / Biologia</t>
  </si>
  <si>
    <t xml:space="preserve">celula_animal_desmontable.stl</t>
  </si>
  <si>
    <t xml:space="preserve">RD-019</t>
  </si>
  <si>
    <t xml:space="preserve">Figura Esqueleto Humano Articulado</t>
  </si>
  <si>
    <t xml:space="preserve">Esqueleto humano a escala 1:6 con articulaciones moviles en hombros, codos, caderas y rodillas</t>
  </si>
  <si>
    <t xml:space="preserve">esqueleto_articulado_1_6.stl</t>
  </si>
  <si>
    <t xml:space="preserve">RD-020</t>
  </si>
  <si>
    <t xml:space="preserve">Figura Volcán en Corte</t>
  </si>
  <si>
    <t xml:space="preserve">Seccion transversal de un volcan con camara magmatica, chimenea y capas geologicas diferenciadas</t>
  </si>
  <si>
    <t xml:space="preserve">Educacion primaria / Ciencias</t>
  </si>
  <si>
    <t xml:space="preserve">volcan_seccion.stl</t>
  </si>
  <si>
    <t xml:space="preserve">RD-021</t>
  </si>
  <si>
    <t xml:space="preserve">Accesorio Silla de Ruedas Portavasos</t>
  </si>
  <si>
    <t xml:space="preserve">Portavasos con clip de sujecion universal para sillas de ruedas estandar, diametro ajustable</t>
  </si>
  <si>
    <t xml:space="preserve">Accesorios de Accesibilidad</t>
  </si>
  <si>
    <t xml:space="preserve">Personas usuarias de silla de ruedas</t>
  </si>
  <si>
    <t xml:space="preserve">portavasos_silla_ruedas.stl</t>
  </si>
  <si>
    <t xml:space="preserve">RD-022</t>
  </si>
  <si>
    <t xml:space="preserve">Accesorio Soporte Tablet Cama</t>
  </si>
  <si>
    <t xml:space="preserve">Brazo articulado con base de clip para cama o mesa, soporta tablets de 7 a 12 pulgadas</t>
  </si>
  <si>
    <t xml:space="preserve">Personas con movilidad reducida</t>
  </si>
  <si>
    <t xml:space="preserve">soporte_tablet_cama.stl</t>
  </si>
  <si>
    <t xml:space="preserve">RD-023</t>
  </si>
  <si>
    <t xml:space="preserve">Accesorio Abrepuertas de Muneca</t>
  </si>
  <si>
    <t xml:space="preserve">Gancho ergonomico para abrir palancas y manijas sin usar los dedos, apto para todas las edades</t>
  </si>
  <si>
    <t xml:space="preserve">abrepuertas_muneca.stl</t>
  </si>
  <si>
    <t xml:space="preserve">RD-024</t>
  </si>
  <si>
    <t xml:space="preserve">Figura Piramide de Giza Seccionada</t>
  </si>
  <si>
    <t xml:space="preserve">Replica de la Gran Piramide con seccion interior que muestra camara del rey, pozos y galeria</t>
  </si>
  <si>
    <t xml:space="preserve">Educacion basica / Historia</t>
  </si>
  <si>
    <t xml:space="preserve">piramide_giza_seccion.stl</t>
  </si>
  <si>
    <t xml:space="preserve">RD-025</t>
  </si>
  <si>
    <t xml:space="preserve">Accesorio Sujetador de Paginas</t>
  </si>
  <si>
    <t xml:space="preserve">Clip adaptado para pasar paginas de libros con una sola mano, compatible con todos los formatos</t>
  </si>
  <si>
    <t xml:space="preserve">sujetador_paginas.stl</t>
  </si>
  <si>
    <t xml:space="preserve">INVENTARIO DE MATERIALES E INSUMOS - ANDES</t>
  </si>
  <si>
    <t xml:space="preserve">Control de stock de filamentos y materiales para produccion de recursos didacticos</t>
  </si>
  <si>
    <t xml:space="preserve">ID Material</t>
  </si>
  <si>
    <t xml:space="preserve">Nombre del Material</t>
  </si>
  <si>
    <t xml:space="preserve">Tipo</t>
  </si>
  <si>
    <t xml:space="preserve">Color</t>
  </si>
  <si>
    <t xml:space="preserve">Stock (kg)</t>
  </si>
  <si>
    <t xml:space="preserve">Stock Minimo (kg)</t>
  </si>
  <si>
    <t xml:space="preserve">Stock Maximo (kg)</t>
  </si>
  <si>
    <t xml:space="preserve">Proveedor</t>
  </si>
  <si>
    <t xml:space="preserve">Estado</t>
  </si>
  <si>
    <t xml:space="preserve">MAT-001</t>
  </si>
  <si>
    <t xml:space="preserve">Filamento PLA Blanco</t>
  </si>
  <si>
    <t xml:space="preserve">Blanco</t>
  </si>
  <si>
    <t xml:space="preserve">Filamentos3D Colombia</t>
  </si>
  <si>
    <t xml:space="preserve">MAT-002</t>
  </si>
  <si>
    <t xml:space="preserve">Filamento PLA Amarillo</t>
  </si>
  <si>
    <t xml:space="preserve">Amarillo</t>
  </si>
  <si>
    <t xml:space="preserve">MAT-003</t>
  </si>
  <si>
    <t xml:space="preserve">Filamento PLA Rojo</t>
  </si>
  <si>
    <t xml:space="preserve">Rojo</t>
  </si>
  <si>
    <t xml:space="preserve">PrintMaster Bogota</t>
  </si>
  <si>
    <t xml:space="preserve">MAT-004</t>
  </si>
  <si>
    <t xml:space="preserve">Filamento PLA Azul</t>
  </si>
  <si>
    <t xml:space="preserve">Azul</t>
  </si>
  <si>
    <t xml:space="preserve">MAT-005</t>
  </si>
  <si>
    <t xml:space="preserve">Filamento PLA Verde</t>
  </si>
  <si>
    <t xml:space="preserve">Verde</t>
  </si>
  <si>
    <t xml:space="preserve">MAT-006</t>
  </si>
  <si>
    <t xml:space="preserve">Filamento PLA Negro</t>
  </si>
  <si>
    <t xml:space="preserve">Negro</t>
  </si>
  <si>
    <t xml:space="preserve">MAT-007</t>
  </si>
  <si>
    <t xml:space="preserve">Filamento PLA+ Natural</t>
  </si>
  <si>
    <t xml:space="preserve">Natural</t>
  </si>
  <si>
    <t xml:space="preserve">3DXTech Colombia</t>
  </si>
  <si>
    <t xml:space="preserve">MAT-008</t>
  </si>
  <si>
    <t xml:space="preserve">Filamento PETG Transparente</t>
  </si>
  <si>
    <t xml:space="preserve">Transparente</t>
  </si>
  <si>
    <t xml:space="preserve">MAT-009</t>
  </si>
  <si>
    <t xml:space="preserve">Filamento PETG Blanco</t>
  </si>
  <si>
    <t xml:space="preserve">MAT-010</t>
  </si>
  <si>
    <t xml:space="preserve">Filamento TPU Flexible 95A</t>
  </si>
  <si>
    <t xml:space="preserve">NinjaTek Colombia</t>
  </si>
  <si>
    <t xml:space="preserve">MAT-011</t>
  </si>
  <si>
    <t xml:space="preserve">MAT-012</t>
  </si>
  <si>
    <t xml:space="preserve">Resina LCD Standard</t>
  </si>
  <si>
    <t xml:space="preserve">Resina</t>
  </si>
  <si>
    <t xml:space="preserve">Gris</t>
  </si>
  <si>
    <t xml:space="preserve">Anycubic Colombia</t>
  </si>
  <si>
    <t xml:space="preserve">MAT-013</t>
  </si>
  <si>
    <t xml:space="preserve">Filamento PLA Azul Cielo</t>
  </si>
  <si>
    <t xml:space="preserve">Azul Cielo</t>
  </si>
  <si>
    <t xml:space="preserve">MAT-014</t>
  </si>
  <si>
    <t xml:space="preserve">Filamento PETG Gris</t>
  </si>
  <si>
    <t xml:space="preserve">MAT-015</t>
  </si>
  <si>
    <t xml:space="preserve">Filamento ABS Negro</t>
  </si>
  <si>
    <t xml:space="preserve">ABS</t>
  </si>
  <si>
    <t xml:space="preserve">MAT-016</t>
  </si>
  <si>
    <t xml:space="preserve">Filamento PLA+ Naranja</t>
  </si>
  <si>
    <t xml:space="preserve">Naranja</t>
  </si>
  <si>
    <t xml:space="preserve">TOTAL STOCK (kg)</t>
  </si>
  <si>
    <t xml:space="preserve">ESTADOS DE SOLICITUDES DE PRODUCCION - ANDES</t>
  </si>
  <si>
    <t xml:space="preserve">Seguimiento de pedidos de material didactico y de accesibilidad por institucion</t>
  </si>
  <si>
    <t xml:space="preserve">ID Solicitud</t>
  </si>
  <si>
    <t xml:space="preserve">Institucion Solicitante</t>
  </si>
  <si>
    <t xml:space="preserve">Recurso Solicitado</t>
  </si>
  <si>
    <t xml:space="preserve">Cantidad</t>
  </si>
  <si>
    <t xml:space="preserve">Fecha Solicitud</t>
  </si>
  <si>
    <t xml:space="preserve">Responsable</t>
  </si>
  <si>
    <t xml:space="preserve">Prioridad</t>
  </si>
  <si>
    <t xml:space="preserve">SOL-001</t>
  </si>
  <si>
    <t xml:space="preserve">Escuela Normal Superior Barranquilla</t>
  </si>
  <si>
    <t xml:space="preserve">2026-04-10</t>
  </si>
  <si>
    <t xml:space="preserve">Ana Reyes</t>
  </si>
  <si>
    <t xml:space="preserve">Alta</t>
  </si>
  <si>
    <t xml:space="preserve">Entregada</t>
  </si>
  <si>
    <t xml:space="preserve">SOL-002</t>
  </si>
  <si>
    <t xml:space="preserve">Instituto para Ciegos del Caribe</t>
  </si>
  <si>
    <t xml:space="preserve">2026-04-15</t>
  </si>
  <si>
    <t xml:space="preserve">Luis Gomez</t>
  </si>
  <si>
    <t xml:space="preserve">SOL-003</t>
  </si>
  <si>
    <t xml:space="preserve">Colegio Distrital Las Nieves</t>
  </si>
  <si>
    <t xml:space="preserve">2026-04-20</t>
  </si>
  <si>
    <t xml:space="preserve">Maria Torres</t>
  </si>
  <si>
    <t xml:space="preserve">Media</t>
  </si>
  <si>
    <t xml:space="preserve">SOL-004</t>
  </si>
  <si>
    <t xml:space="preserve">Fundacion Manos Abiertas</t>
  </si>
  <si>
    <t xml:space="preserve">2026-04-28</t>
  </si>
  <si>
    <t xml:space="preserve">Pedro Salas</t>
  </si>
  <si>
    <t xml:space="preserve">Empaque y Transporte</t>
  </si>
  <si>
    <t xml:space="preserve">SOL-005</t>
  </si>
  <si>
    <t xml:space="preserve">Colegio Fe y Alegria No. 1</t>
  </si>
  <si>
    <t xml:space="preserve">2026-05-02</t>
  </si>
  <si>
    <t xml:space="preserve">Clara Pinto</t>
  </si>
  <si>
    <t xml:space="preserve">SOL-006</t>
  </si>
  <si>
    <t xml:space="preserve">IED Simon Bolivar</t>
  </si>
  <si>
    <t xml:space="preserve">2026-05-05</t>
  </si>
  <si>
    <t xml:space="preserve">Revision de Calidad</t>
  </si>
  <si>
    <t xml:space="preserve">SOL-007</t>
  </si>
  <si>
    <t xml:space="preserve">Hogar Infantil Comunitario El Prado</t>
  </si>
  <si>
    <t xml:space="preserve">2026-05-07</t>
  </si>
  <si>
    <t xml:space="preserve">SOL-008</t>
  </si>
  <si>
    <t xml:space="preserve">2026-05-10</t>
  </si>
  <si>
    <t xml:space="preserve">En Produccion</t>
  </si>
  <si>
    <t xml:space="preserve">SOL-009</t>
  </si>
  <si>
    <t xml:space="preserve">2026-05-12</t>
  </si>
  <si>
    <t xml:space="preserve">SOL-010</t>
  </si>
  <si>
    <t xml:space="preserve">2026-05-14</t>
  </si>
  <si>
    <t xml:space="preserve">Baja</t>
  </si>
  <si>
    <t xml:space="preserve">SOL-011</t>
  </si>
  <si>
    <t xml:space="preserve">2026-05-16</t>
  </si>
  <si>
    <t xml:space="preserve">Recibida</t>
  </si>
  <si>
    <t xml:space="preserve">SOL-012</t>
  </si>
  <si>
    <t xml:space="preserve">2026-05-17</t>
  </si>
  <si>
    <t xml:space="preserve">SOL-013</t>
  </si>
  <si>
    <t xml:space="preserve">2026-05-18</t>
  </si>
  <si>
    <t xml:space="preserve">SOL-014</t>
  </si>
  <si>
    <t xml:space="preserve">2026-05-19</t>
  </si>
  <si>
    <t xml:space="preserve">SOL-015</t>
  </si>
  <si>
    <t xml:space="preserve">SOL-016</t>
  </si>
  <si>
    <t xml:space="preserve">Colegio San Jose de la Salle</t>
  </si>
  <si>
    <t xml:space="preserve">2026-05-15</t>
  </si>
  <si>
    <t xml:space="preserve">SOL-017</t>
  </si>
  <si>
    <t xml:space="preserve">Universidad del Atlantico</t>
  </si>
  <si>
    <t xml:space="preserve">SOL-018</t>
  </si>
  <si>
    <t xml:space="preserve">SOL-019</t>
  </si>
  <si>
    <t xml:space="preserve">SOL-020</t>
  </si>
  <si>
    <t xml:space="preserve">Hogar Gerontologico El Carmen</t>
  </si>
  <si>
    <t xml:space="preserve">SOL-021</t>
  </si>
  <si>
    <t xml:space="preserve">IED Concentracion Cevillar</t>
  </si>
  <si>
    <t xml:space="preserve">SOL-022</t>
  </si>
  <si>
    <t xml:space="preserve">SOL-023</t>
  </si>
  <si>
    <t xml:space="preserve">Colegio Distrital Las Americas</t>
  </si>
  <si>
    <t xml:space="preserve">Figura Volcan en Corte</t>
  </si>
  <si>
    <t xml:space="preserve">SOL-024</t>
  </si>
  <si>
    <t xml:space="preserve">SOL-025</t>
  </si>
  <si>
    <t xml:space="preserve">Fundacion Rehabilitar Caribe</t>
  </si>
  <si>
    <t xml:space="preserve">RESUMEN POR ESTADO</t>
  </si>
  <si>
    <t xml:space="preserve">TIEMPOS DE PRODUCCION - RECURSOS DIDACTICOS 3D ANDES</t>
  </si>
  <si>
    <t xml:space="preserve">Referencia de tiempos por recurso para planificacion de produccion y entregas</t>
  </si>
  <si>
    <t xml:space="preserve">Material</t>
  </si>
  <si>
    <t xml:space="preserve">Tiempo Impresion (h)</t>
  </si>
  <si>
    <t xml:space="preserve">Tiempo Post-Proceso (h)</t>
  </si>
  <si>
    <t xml:space="preserve">Tiempo Total (h)</t>
  </si>
  <si>
    <t xml:space="preserve">Velocidad (mm/s)</t>
  </si>
  <si>
    <t xml:space="preserve">Piezas por Unidad</t>
  </si>
  <si>
    <t xml:space="preserve">Tiempo por Lote de 5 (h)</t>
  </si>
  <si>
    <t xml:space="preserve">PROMEDIO</t>
  </si>
  <si>
    <t xml:space="preserve">SATISFACCION DE INSTITUCIONES BENEFICIARIAS - ANDES</t>
  </si>
  <si>
    <t xml:space="preserve">Evaluacion de calidad percibida por instituciones educativas e inclusivas atendidas</t>
  </si>
  <si>
    <t xml:space="preserve">ID Evaluacion</t>
  </si>
  <si>
    <t xml:space="preserve">Institucion</t>
  </si>
  <si>
    <t xml:space="preserve">Recurso Evaluado</t>
  </si>
  <si>
    <t xml:space="preserve">Calidad del Material (1-5)</t>
  </si>
  <si>
    <t xml:space="preserve">Precision Dimensional (1-5)</t>
  </si>
  <si>
    <t xml:space="preserve">Utilidad Pedagogica (1-5)</t>
  </si>
  <si>
    <t xml:space="preserve">Tiempo de Entrega (1-5)</t>
  </si>
  <si>
    <t xml:space="preserve">Promedio</t>
  </si>
  <si>
    <t xml:space="preserve">Observaciones</t>
  </si>
  <si>
    <t xml:space="preserve">EVL-001</t>
  </si>
  <si>
    <t xml:space="preserve">Los estudiantes aprendieron mas rapido con el material tactil. Excelente acabado.</t>
  </si>
  <si>
    <t xml:space="preserve">EVL-002</t>
  </si>
  <si>
    <t xml:space="preserve">Material muy solido. Los jovenes lo usan a diario. Pediremos mas unidades.</t>
  </si>
  <si>
    <t xml:space="preserve">EVL-003</t>
  </si>
  <si>
    <t xml:space="preserve">La textura diferenciada es clave para los estudiantes con baja vision.</t>
  </si>
  <si>
    <t xml:space="preserve">EVL-004</t>
  </si>
  <si>
    <t xml:space="preserve">Transformo la comunicacion de varios de nuestros beneficiarios. Muy recomendado.</t>
  </si>
  <si>
    <t xml:space="preserve">EVL-005</t>
  </si>
  <si>
    <t xml:space="preserve">Facil de usar en el salon. Los ninos entienden mejor las fracciones con el material fisico.</t>
  </si>
  <si>
    <t xml:space="preserve">EVL-006</t>
  </si>
  <si>
    <t xml:space="preserve">El mapa es muy preciso. El tiempo de entrega fue un poco mayor al esperado.</t>
  </si>
  <si>
    <t xml:space="preserve">EVL-007</t>
  </si>
  <si>
    <t xml:space="preserve">Varios ninos con dificultades motrices lograron escribir por primera vez con este agarre.</t>
  </si>
  <si>
    <t xml:space="preserve">EVL-008</t>
  </si>
  <si>
    <t xml:space="preserve">Muy util para las clases de quimica. Los conectores son resistentes y precisos.</t>
  </si>
  <si>
    <t xml:space="preserve">EVL-009</t>
  </si>
  <si>
    <t xml:space="preserve">Herramienta indispensable. La precision de las marcas en relieve es perfecta.</t>
  </si>
  <si>
    <t xml:space="preserve">EVL-010</t>
  </si>
  <si>
    <t xml:space="preserve">Buena iniciativa aunque las piezas de oceanos podrian ser mas robustas.</t>
  </si>
  <si>
    <t xml:space="preserve">EVL-011</t>
  </si>
  <si>
    <t xml:space="preserve">El nivel de detalle del corazon supero nuestras expectativas. Los estudiantes quedaron impresionados.</t>
  </si>
  <si>
    <t xml:space="preserve">EVL-012</t>
  </si>
  <si>
    <t xml:space="preserve">Excelente herramienta para astronomia. Las proporciones son correctas y el material es solido.</t>
  </si>
  <si>
    <t xml:space="preserve">EVL-013</t>
  </si>
  <si>
    <t xml:space="preserve">IED Olaya Herrera</t>
  </si>
  <si>
    <t xml:space="preserve">Los organulos extraibles facilitan mucho la ensenanza. Muy util para evaluaciones practicas.</t>
  </si>
  <si>
    <t xml:space="preserve">EVL-014</t>
  </si>
  <si>
    <t xml:space="preserve">Cambio la vida de varios de nuestros beneficiarios. La autonomia que genera es invaluable.</t>
  </si>
  <si>
    <t xml:space="preserve">EVL-015</t>
  </si>
  <si>
    <t xml:space="preserve">Los adultos mayores lo usan a diario para videollamadas. El agarre es firme y seguro.</t>
  </si>
  <si>
    <t xml:space="preserve">EVL-016</t>
  </si>
  <si>
    <t xml:space="preserve">La seccion interior genera mucha curiosidad e interaccion en el aula. Muy recomendado.</t>
  </si>
  <si>
    <t xml:space="preserve">EVL-017</t>
  </si>
  <si>
    <t xml:space="preserve">Herramienta fundamental para la independencia lectora. La precision del agarre es perfecta.</t>
  </si>
  <si>
    <t xml:space="preserve">EVL-018</t>
  </si>
  <si>
    <t xml:space="preserve">Muy buena para explicar fenomenos geologicos. Podria tener colores diferenciados por capa.</t>
  </si>
  <si>
    <t xml:space="preserve">EVL-019</t>
  </si>
  <si>
    <t xml:space="preserve">El esqueleto articulado es impresionante. Tardo un poco mas de lo esperado pero valio la pena.</t>
  </si>
  <si>
    <t xml:space="preserve">EVL-020</t>
  </si>
  <si>
    <t xml:space="preserve">Accesorio practico y muy bien pensado. Los usuarios lo adoptaron inmediatamente.</t>
  </si>
  <si>
    <t xml:space="preserve">PROMEDIO GENERAL</t>
  </si>
  <si>
    <t xml:space="preserve">Escala de evaluacion:</t>
  </si>
  <si>
    <t xml:space="preserve">5 = Excelente</t>
  </si>
  <si>
    <t xml:space="preserve">4 = Bueno</t>
  </si>
  <si>
    <t xml:space="preserve">3 = Regular</t>
  </si>
  <si>
    <t xml:space="preserve">2 = Deficiente</t>
  </si>
  <si>
    <t xml:space="preserve">1 = Muy deficiente</t>
  </si>
  <si>
    <t xml:space="preserve">SATISFACCION DE CLIENTES INDIVIDUALES - ANDES</t>
  </si>
  <si>
    <t xml:space="preserve">Evaluacion directa de usuarios finales: docentes, cuidadores y personas beneficiarias</t>
  </si>
  <si>
    <t xml:space="preserve">Nombre del Cliente</t>
  </si>
  <si>
    <t xml:space="preserve">Tipo de Cliente</t>
  </si>
  <si>
    <t xml:space="preserve">Recurso Adquirido</t>
  </si>
  <si>
    <t xml:space="preserve">Fecha</t>
  </si>
  <si>
    <t xml:space="preserve">Facilidad de Uso (1-5)</t>
  </si>
  <si>
    <t xml:space="preserve">Impacto Percibido (1-5)</t>
  </si>
  <si>
    <t xml:space="preserve">Recomendaria (1-5)</t>
  </si>
  <si>
    <t xml:space="preserve">Comentario</t>
  </si>
  <si>
    <t xml:space="preserve">CL-001</t>
  </si>
  <si>
    <t xml:space="preserve">Patricia Suarez</t>
  </si>
  <si>
    <t xml:space="preserve">Docente</t>
  </si>
  <si>
    <t xml:space="preserve">2026-04-14</t>
  </si>
  <si>
    <t xml:space="preserve">Mis estudiantes con discapacidad visual aprenden mucho mas rapido. Es un recurso transformador.</t>
  </si>
  <si>
    <t xml:space="preserve">CL-002</t>
  </si>
  <si>
    <t xml:space="preserve">Ricardo Montoya</t>
  </si>
  <si>
    <t xml:space="preserve">Cuidador</t>
  </si>
  <si>
    <t xml:space="preserve">2026-04-22</t>
  </si>
  <si>
    <t xml:space="preserve">Mi hijo pudo escribir solo por primera vez. No tengo palabras para describir ese momento.</t>
  </si>
  <si>
    <t xml:space="preserve">CL-003</t>
  </si>
  <si>
    <t xml:space="preserve">Luisa Fernanda Rios</t>
  </si>
  <si>
    <t xml:space="preserve">Los ninos entienden las fracciones mucho mejor con el material fisico que con el tablero.</t>
  </si>
  <si>
    <t xml:space="preserve">CL-004</t>
  </si>
  <si>
    <t xml:space="preserve">Andres Carmona</t>
  </si>
  <si>
    <t xml:space="preserve">Beneficiario</t>
  </si>
  <si>
    <t xml:space="preserve">2026-05-08</t>
  </si>
  <si>
    <t xml:space="preserve">Recupere parte de mi independencia. Ahora abro puertas solo. Sencillo pero muy efectivo.</t>
  </si>
  <si>
    <t xml:space="preserve">CL-005</t>
  </si>
  <si>
    <t xml:space="preserve">Gloria Ines Pardo</t>
  </si>
  <si>
    <t xml:space="preserve">Los estudiantes se fascinaron con las proporciones reales. Mucho mejor que las imagenes digitales.</t>
  </si>
  <si>
    <t xml:space="preserve">CL-006</t>
  </si>
  <si>
    <t xml:space="preserve">Jorge Eliecer Vega</t>
  </si>
  <si>
    <t xml:space="preserve">Mi madre usa la tablet para videollamadas familiares sin ayuda. El soporte es muy estable.</t>
  </si>
  <si>
    <t xml:space="preserve">CL-007</t>
  </si>
  <si>
    <t xml:space="preserve">Natalia Ospina</t>
  </si>
  <si>
    <t xml:space="preserve">Cada organulo es extraible y los estudiantes pueden armar la celula como rompecabezas.</t>
  </si>
  <si>
    <t xml:space="preserve">CL-008</t>
  </si>
  <si>
    <t xml:space="preserve">Camilo Bermudez</t>
  </si>
  <si>
    <t xml:space="preserve">Ahora leo libros completos sin pedir ayuda. La calidad del material es excelente.</t>
  </si>
  <si>
    <t xml:space="preserve">CL-009</t>
  </si>
  <si>
    <t xml:space="preserve">Sandra Milena Cruz</t>
  </si>
  <si>
    <t xml:space="preserve">Buena calidad, aunque sugeriria pintar las capas con colores diferenciados desde fabrica.</t>
  </si>
  <si>
    <t xml:space="preserve">CL-010</t>
  </si>
  <si>
    <t xml:space="preserve">Humberto Florez</t>
  </si>
  <si>
    <t xml:space="preserve">Mi esposa ya no tiene que pedirme que le sostenga el vaso. Un pequeno accesorio, gran diferencia.</t>
  </si>
  <si>
    <t xml:space="preserve">CL-011</t>
  </si>
  <si>
    <t xml:space="preserve">Margarita Leal</t>
  </si>
  <si>
    <t xml:space="preserve">El esqueleto articulado permite explicar movimiento y anatomia de forma intuitiva. Excelente acabado.</t>
  </si>
  <si>
    <t xml:space="preserve">CL-012</t>
  </si>
  <si>
    <t xml:space="preserve">Dario Escobar</t>
  </si>
  <si>
    <t xml:space="preserve">Practico mi lectoescritura braille todos los dias. El dispositivo es solido y comodo.</t>
  </si>
  <si>
    <t xml:space="preserve">CL-013</t>
  </si>
  <si>
    <t xml:space="preserve">Teresa Gutierrez</t>
  </si>
  <si>
    <t xml:space="preserve">Los estudiantes identifican los departamentos mucho mas facilmente con el mapa tactil.</t>
  </si>
  <si>
    <t xml:space="preserve">CL-014</t>
  </si>
  <si>
    <t xml:space="preserve">Ivan Dario Perez</t>
  </si>
  <si>
    <t xml:space="preserve">Mi hijo con TEA logro comunicarse con nosotros usando el tablero. Fue un dia muy especial.</t>
  </si>
  <si>
    <t xml:space="preserve">CL-015</t>
  </si>
  <si>
    <t xml:space="preserve">Claudia Morales</t>
  </si>
  <si>
    <t xml:space="preserve">La seccion interior genera mucho debate en clase. Los estudiantes quieren saber mas sobre Egipto.</t>
  </si>
  <si>
    <t xml:space="preserve">RESUMEN POR TIPO DE CLIENTE</t>
  </si>
  <si>
    <t xml:space="preserve">Evaluaciones</t>
  </si>
  <si>
    <t xml:space="preserve">Prom. General</t>
  </si>
  <si>
    <t xml:space="preserve">INVENTARIO DE PRODUCTOS TERMINADOS - ANDES</t>
  </si>
  <si>
    <t xml:space="preserve">Control de unidades producidas, disponibles y entregadas por recurso didactico</t>
  </si>
  <si>
    <t xml:space="preserve">Nombre del Producto</t>
  </si>
  <si>
    <t xml:space="preserve">Unidades Producidas</t>
  </si>
  <si>
    <t xml:space="preserve">Unidades Entregadas</t>
  </si>
  <si>
    <t xml:space="preserve">Unidades Disponibles</t>
  </si>
  <si>
    <t xml:space="preserve">Reservadas</t>
  </si>
  <si>
    <t xml:space="preserve">TOTALES</t>
  </si>
  <si>
    <t xml:space="preserve">CATALOGO DE MODELOS 3D - OPORTUNIDADES DE VENTA</t>
  </si>
  <si>
    <t xml:space="preserve">Referencia de categorias y lineas de modelos 3D con potencial comercial para ANDES</t>
  </si>
  <si>
    <t xml:space="preserve">ID Modelo</t>
  </si>
  <si>
    <t xml:space="preserve">Nombre / Linea</t>
  </si>
  <si>
    <t xml:space="preserve">Subcategoria</t>
  </si>
  <si>
    <t xml:space="preserve">Publico Potencial</t>
  </si>
  <si>
    <t xml:space="preserve">Precio Referencia (COP)</t>
  </si>
  <si>
    <t xml:space="preserve">Complejidad</t>
  </si>
  <si>
    <t xml:space="preserve">Observacion</t>
  </si>
  <si>
    <t xml:space="preserve">M-001</t>
  </si>
  <si>
    <t xml:space="preserve">Mapas geograficos regionales</t>
  </si>
  <si>
    <t xml:space="preserve">Educacion</t>
  </si>
  <si>
    <t xml:space="preserve">Geografia</t>
  </si>
  <si>
    <t xml:space="preserve">Colegios / museos</t>
  </si>
  <si>
    <t xml:space="preserve">Cada departamento o pais como pieza independiente</t>
  </si>
  <si>
    <t xml:space="preserve">M-002</t>
  </si>
  <si>
    <t xml:space="preserve">Linea de anatomia basica</t>
  </si>
  <si>
    <t xml:space="preserve">Ciencia</t>
  </si>
  <si>
    <t xml:space="preserve">Biologia</t>
  </si>
  <si>
    <t xml:space="preserve">Colegios / universidades</t>
  </si>
  <si>
    <t xml:space="preserve">Organos, sistemas y estructuras con corte didactico</t>
  </si>
  <si>
    <t xml:space="preserve">M-003</t>
  </si>
  <si>
    <t xml:space="preserve">Figuras del sistema solar</t>
  </si>
  <si>
    <t xml:space="preserve">Astronomia</t>
  </si>
  <si>
    <t xml:space="preserve">Colegios / hogares</t>
  </si>
  <si>
    <t xml:space="preserve">Planetas individuales o en set, a escala relativa</t>
  </si>
  <si>
    <t xml:space="preserve">M-004</t>
  </si>
  <si>
    <t xml:space="preserve">Replicas de monumentos</t>
  </si>
  <si>
    <t xml:space="preserve">Cultura</t>
  </si>
  <si>
    <t xml:space="preserve">Patrimonio</t>
  </si>
  <si>
    <t xml:space="preserve">Museos / tiendas</t>
  </si>
  <si>
    <t xml:space="preserve">Castillo, torre, piramide, coliseo, entre otros</t>
  </si>
  <si>
    <t xml:space="preserve">M-005</t>
  </si>
  <si>
    <t xml:space="preserve">Letras y numeros decorativos</t>
  </si>
  <si>
    <t xml:space="preserve">Arte y Deco</t>
  </si>
  <si>
    <t xml:space="preserve">Tipografia</t>
  </si>
  <si>
    <t xml:space="preserve">Hogares / empresas</t>
  </si>
  <si>
    <t xml:space="preserve">Nombres, iniciales, frases en distintos estilos</t>
  </si>
  <si>
    <t xml:space="preserve">M-006</t>
  </si>
  <si>
    <t xml:space="preserve">Macetas y jardineras</t>
  </si>
  <si>
    <t xml:space="preserve">Hogar</t>
  </si>
  <si>
    <t xml:space="preserve">Hogares / tiendas</t>
  </si>
  <si>
    <t xml:space="preserve">Distintas formas geometricas y organicas</t>
  </si>
  <si>
    <t xml:space="preserve">M-007</t>
  </si>
  <si>
    <t xml:space="preserve">Organizadores de escritorio</t>
  </si>
  <si>
    <t xml:space="preserve">Productividad</t>
  </si>
  <si>
    <t xml:space="preserve">Oficinas / estudiantes</t>
  </si>
  <si>
    <t xml:space="preserve">Portafolios, clips, soportes, bandejas</t>
  </si>
  <si>
    <t xml:space="preserve">M-008</t>
  </si>
  <si>
    <t xml:space="preserve">Figuras de animales articulados</t>
  </si>
  <si>
    <t xml:space="preserve">Jugueteria</t>
  </si>
  <si>
    <t xml:space="preserve">Ninos / coleccionistas</t>
  </si>
  <si>
    <t xml:space="preserve">Animales con articulaciones impresas en una pieza</t>
  </si>
  <si>
    <t xml:space="preserve">M-009</t>
  </si>
  <si>
    <t xml:space="preserve">Piezas para juegos de mesa</t>
  </si>
  <si>
    <t xml:space="preserve">Ludica</t>
  </si>
  <si>
    <t xml:space="preserve">Familias / colegios</t>
  </si>
  <si>
    <t xml:space="preserve">Fichas, dados, tableros, contadores personalizados</t>
  </si>
  <si>
    <t xml:space="preserve">M-010</t>
  </si>
  <si>
    <t xml:space="preserve">Accesorios para sillas de ruedas</t>
  </si>
  <si>
    <t xml:space="preserve">Accesibilidad</t>
  </si>
  <si>
    <t xml:space="preserve">Movilidad</t>
  </si>
  <si>
    <t xml:space="preserve">Personas con discapacidad</t>
  </si>
  <si>
    <t xml:space="preserve">Portavasos, soportes, ganchos adaptados</t>
  </si>
  <si>
    <t xml:space="preserve">M-011</t>
  </si>
  <si>
    <t xml:space="preserve">Adaptadores e instrumentos AAC</t>
  </si>
  <si>
    <t xml:space="preserve">Comunicacion</t>
  </si>
  <si>
    <t xml:space="preserve">TEA / discapacidad</t>
  </si>
  <si>
    <t xml:space="preserve">Tableros, senaladores, pulsadores de bajo costo</t>
  </si>
  <si>
    <t xml:space="preserve">M-012</t>
  </si>
  <si>
    <t xml:space="preserve">Relieves para aprendizaje tactil</t>
  </si>
  <si>
    <t xml:space="preserve">Baja vision</t>
  </si>
  <si>
    <t xml:space="preserve">Discapacidad visual</t>
  </si>
  <si>
    <t xml:space="preserve">Letras, mapas, figuras con textura diferenciada</t>
  </si>
  <si>
    <t xml:space="preserve">M-013</t>
  </si>
  <si>
    <t xml:space="preserve">Modelos geologicos</t>
  </si>
  <si>
    <t xml:space="preserve">Geologia</t>
  </si>
  <si>
    <t xml:space="preserve">Capas terrestres, tipos de roca, formaciones</t>
  </si>
  <si>
    <t xml:space="preserve">M-014</t>
  </si>
  <si>
    <t xml:space="preserve">Maquetas arquitectonicas</t>
  </si>
  <si>
    <t xml:space="preserve">Arquitectura</t>
  </si>
  <si>
    <t xml:space="preserve">Urbanismo</t>
  </si>
  <si>
    <t xml:space="preserve">Universidades / empresas</t>
  </si>
  <si>
    <t xml:space="preserve">Edificios, casas, estructuras a escala</t>
  </si>
  <si>
    <t xml:space="preserve">M-015</t>
  </si>
  <si>
    <t xml:space="preserve">Set de geometria solida</t>
  </si>
  <si>
    <t xml:space="preserve">Matematicas</t>
  </si>
  <si>
    <t xml:space="preserve">Poliedros, prismas, piramides, esferas</t>
  </si>
  <si>
    <t xml:space="preserve">M-016</t>
  </si>
  <si>
    <t xml:space="preserve">Figuras precolombinas</t>
  </si>
  <si>
    <t xml:space="preserve">Arqueologia</t>
  </si>
  <si>
    <t xml:space="preserve">Piezas inspiradas en culturas indigenas colombianas</t>
  </si>
  <si>
    <t xml:space="preserve">M-017</t>
  </si>
  <si>
    <t xml:space="preserve">Piezas de repuesto hogar</t>
  </si>
  <si>
    <t xml:space="preserve">Industria</t>
  </si>
  <si>
    <t xml:space="preserve">Utilidades</t>
  </si>
  <si>
    <t xml:space="preserve">Hogares / talleres</t>
  </si>
  <si>
    <t xml:space="preserve">Bisagras, perillas, soportes, clips de repuesto</t>
  </si>
  <si>
    <t xml:space="preserve">M-018</t>
  </si>
  <si>
    <t xml:space="preserve">Instrumentos musicales pequenos</t>
  </si>
  <si>
    <t xml:space="preserve">Musica</t>
  </si>
  <si>
    <t xml:space="preserve">Ocarina, silbato, maracas simples</t>
  </si>
  <si>
    <t xml:space="preserve">M-019</t>
  </si>
  <si>
    <t xml:space="preserve">Senaletica y letreros</t>
  </si>
  <si>
    <t xml:space="preserve">Empresas / instituciones</t>
  </si>
  <si>
    <t xml:space="preserve">Numeros de oficina, flechas, avisos personalizados</t>
  </si>
  <si>
    <t xml:space="preserve">M-020</t>
  </si>
  <si>
    <t xml:space="preserve">Figuras de flora colombiana</t>
  </si>
  <si>
    <t xml:space="preserve">Biodiversidad</t>
  </si>
  <si>
    <t xml:space="preserve">Flores, frutos, hojas de especies nativas</t>
  </si>
  <si>
    <t xml:space="preserve">NOTA: Este catalogo es una referencia de oportunidades. Cada linea requiere validacion de diseno, materiales y tiempos antes de ofrecer al cliente. Los precios son estimados de referencia.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</si>
</sst>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"/>
    <numFmt numFmtId="167" formatCode="0"/>
    <numFmt numFmtId="168" formatCode="General"/>
    <numFmt numFmtId="169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2D9F3"/>
      </patternFill>
    </fill>
    <fill>
      <patternFill patternType="solid">
        <fgColor rgb="FFEBF2FA"/>
        <bgColor rgb="FFFFFFFF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D9F3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BF2FA"/>
      </patternFill>
    </fill>
    <fill>
      <patternFill patternType="solid">
        <fgColor rgb="FFFF0000"/>
        <bgColor rgb="FF993300"/>
      </patternFill>
    </fill>
    <fill>
      <patternFill patternType="solid">
        <fgColor rgb="FFD9EAD3"/>
        <bgColor rgb="FFC6EFCE"/>
      </patternFill>
    </fill>
    <fill>
      <patternFill patternType="solid">
        <fgColor rgb="FFF4CCCC"/>
        <bgColor rgb="FFFFC7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2FA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D9E2F3"/>
      <rgbColor rgb="FFFFC7CE"/>
      <rgbColor rgb="FFFCE4D6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24"/>
    <col collapsed="false" customWidth="true" hidden="false" outlineLevel="0" max="7" min="7" style="1" width="28"/>
    <col collapsed="false" customWidth="true" hidden="false" outlineLevel="0" max="8" min="8" style="1" width="3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45" hidden="false" customHeight="true" outlineLevel="0" collapsed="false">
      <c r="A4" s="5" t="s">
        <v>10</v>
      </c>
      <c r="B4" s="6" t="s">
        <v>11</v>
      </c>
      <c r="C4" s="7" t="s">
        <v>12</v>
      </c>
      <c r="D4" s="8" t="s">
        <v>13</v>
      </c>
      <c r="E4" s="9" t="n">
        <v>4500</v>
      </c>
      <c r="F4" s="7" t="s">
        <v>14</v>
      </c>
      <c r="G4" s="7" t="s">
        <v>15</v>
      </c>
      <c r="H4" s="7" t="s">
        <v>16</v>
      </c>
    </row>
    <row r="5" customFormat="false" ht="45" hidden="false" customHeight="true" outlineLevel="0" collapsed="false">
      <c r="A5" s="10" t="s">
        <v>17</v>
      </c>
      <c r="B5" s="11" t="s">
        <v>18</v>
      </c>
      <c r="C5" s="12" t="s">
        <v>19</v>
      </c>
      <c r="D5" s="13" t="s">
        <v>20</v>
      </c>
      <c r="E5" s="14" t="n">
        <v>8000</v>
      </c>
      <c r="F5" s="12" t="s">
        <v>21</v>
      </c>
      <c r="G5" s="12" t="s">
        <v>22</v>
      </c>
      <c r="H5" s="12" t="s">
        <v>23</v>
      </c>
    </row>
    <row r="6" customFormat="false" ht="45" hidden="false" customHeight="true" outlineLevel="0" collapsed="false">
      <c r="A6" s="5" t="s">
        <v>24</v>
      </c>
      <c r="B6" s="6" t="s">
        <v>25</v>
      </c>
      <c r="C6" s="7" t="s">
        <v>26</v>
      </c>
      <c r="D6" s="8" t="s">
        <v>27</v>
      </c>
      <c r="E6" s="9" t="n">
        <v>22000</v>
      </c>
      <c r="F6" s="7" t="s">
        <v>21</v>
      </c>
      <c r="G6" s="7" t="s">
        <v>28</v>
      </c>
      <c r="H6" s="7" t="s">
        <v>29</v>
      </c>
    </row>
    <row r="7" customFormat="false" ht="45" hidden="false" customHeight="true" outlineLevel="0" collapsed="false">
      <c r="A7" s="10" t="s">
        <v>30</v>
      </c>
      <c r="B7" s="11" t="s">
        <v>31</v>
      </c>
      <c r="C7" s="12" t="s">
        <v>32</v>
      </c>
      <c r="D7" s="13" t="s">
        <v>33</v>
      </c>
      <c r="E7" s="14" t="n">
        <v>35000</v>
      </c>
      <c r="F7" s="12" t="s">
        <v>14</v>
      </c>
      <c r="G7" s="12" t="s">
        <v>15</v>
      </c>
      <c r="H7" s="12" t="s">
        <v>34</v>
      </c>
    </row>
    <row r="8" customFormat="false" ht="45" hidden="false" customHeight="true" outlineLevel="0" collapsed="false">
      <c r="A8" s="5" t="s">
        <v>35</v>
      </c>
      <c r="B8" s="6" t="s">
        <v>36</v>
      </c>
      <c r="C8" s="7" t="s">
        <v>37</v>
      </c>
      <c r="D8" s="8" t="s">
        <v>13</v>
      </c>
      <c r="E8" s="9" t="n">
        <v>18000</v>
      </c>
      <c r="F8" s="7" t="s">
        <v>21</v>
      </c>
      <c r="G8" s="7" t="s">
        <v>38</v>
      </c>
      <c r="H8" s="7" t="s">
        <v>39</v>
      </c>
    </row>
    <row r="9" customFormat="false" ht="45" hidden="false" customHeight="true" outlineLevel="0" collapsed="false">
      <c r="A9" s="10" t="s">
        <v>40</v>
      </c>
      <c r="B9" s="11" t="s">
        <v>41</v>
      </c>
      <c r="C9" s="12" t="s">
        <v>42</v>
      </c>
      <c r="D9" s="13" t="s">
        <v>27</v>
      </c>
      <c r="E9" s="14" t="n">
        <v>28000</v>
      </c>
      <c r="F9" s="12" t="s">
        <v>43</v>
      </c>
      <c r="G9" s="12" t="s">
        <v>44</v>
      </c>
      <c r="H9" s="12" t="s">
        <v>45</v>
      </c>
    </row>
    <row r="10" customFormat="false" ht="45" hidden="false" customHeight="true" outlineLevel="0" collapsed="false">
      <c r="A10" s="5" t="s">
        <v>46</v>
      </c>
      <c r="B10" s="6" t="s">
        <v>47</v>
      </c>
      <c r="C10" s="7" t="s">
        <v>48</v>
      </c>
      <c r="D10" s="8" t="s">
        <v>13</v>
      </c>
      <c r="E10" s="9" t="n">
        <v>14000</v>
      </c>
      <c r="F10" s="7" t="s">
        <v>21</v>
      </c>
      <c r="G10" s="7" t="s">
        <v>49</v>
      </c>
      <c r="H10" s="7" t="s">
        <v>50</v>
      </c>
    </row>
    <row r="11" customFormat="false" ht="45" hidden="false" customHeight="true" outlineLevel="0" collapsed="false">
      <c r="A11" s="10" t="s">
        <v>51</v>
      </c>
      <c r="B11" s="11" t="s">
        <v>52</v>
      </c>
      <c r="C11" s="12" t="s">
        <v>53</v>
      </c>
      <c r="D11" s="13" t="s">
        <v>33</v>
      </c>
      <c r="E11" s="14" t="n">
        <v>6000</v>
      </c>
      <c r="F11" s="12" t="s">
        <v>14</v>
      </c>
      <c r="G11" s="12" t="s">
        <v>15</v>
      </c>
      <c r="H11" s="12" t="s">
        <v>54</v>
      </c>
    </row>
    <row r="12" customFormat="false" ht="45" hidden="false" customHeight="true" outlineLevel="0" collapsed="false">
      <c r="A12" s="5" t="s">
        <v>55</v>
      </c>
      <c r="B12" s="6" t="s">
        <v>56</v>
      </c>
      <c r="C12" s="7" t="s">
        <v>57</v>
      </c>
      <c r="D12" s="8" t="s">
        <v>13</v>
      </c>
      <c r="E12" s="9" t="n">
        <v>12000</v>
      </c>
      <c r="F12" s="7" t="s">
        <v>21</v>
      </c>
      <c r="G12" s="7" t="s">
        <v>49</v>
      </c>
      <c r="H12" s="7" t="s">
        <v>58</v>
      </c>
    </row>
    <row r="13" customFormat="false" ht="45" hidden="false" customHeight="true" outlineLevel="0" collapsed="false">
      <c r="A13" s="10" t="s">
        <v>59</v>
      </c>
      <c r="B13" s="11" t="s">
        <v>60</v>
      </c>
      <c r="C13" s="12" t="s">
        <v>61</v>
      </c>
      <c r="D13" s="13" t="s">
        <v>20</v>
      </c>
      <c r="E13" s="14" t="n">
        <v>3500</v>
      </c>
      <c r="F13" s="12" t="s">
        <v>62</v>
      </c>
      <c r="G13" s="12" t="s">
        <v>63</v>
      </c>
      <c r="H13" s="12" t="s">
        <v>64</v>
      </c>
    </row>
    <row r="14" customFormat="false" ht="45" hidden="false" customHeight="true" outlineLevel="0" collapsed="false">
      <c r="A14" s="5" t="s">
        <v>65</v>
      </c>
      <c r="B14" s="6" t="s">
        <v>66</v>
      </c>
      <c r="C14" s="7" t="s">
        <v>67</v>
      </c>
      <c r="D14" s="8" t="s">
        <v>13</v>
      </c>
      <c r="E14" s="9" t="n">
        <v>9000</v>
      </c>
      <c r="F14" s="7" t="s">
        <v>14</v>
      </c>
      <c r="G14" s="7" t="s">
        <v>68</v>
      </c>
      <c r="H14" s="7" t="s">
        <v>69</v>
      </c>
    </row>
    <row r="15" customFormat="false" ht="45" hidden="false" customHeight="true" outlineLevel="0" collapsed="false">
      <c r="A15" s="10" t="s">
        <v>70</v>
      </c>
      <c r="B15" s="11" t="s">
        <v>71</v>
      </c>
      <c r="C15" s="12" t="s">
        <v>72</v>
      </c>
      <c r="D15" s="13" t="s">
        <v>27</v>
      </c>
      <c r="E15" s="14" t="n">
        <v>11000</v>
      </c>
      <c r="F15" s="12" t="s">
        <v>21</v>
      </c>
      <c r="G15" s="12" t="s">
        <v>49</v>
      </c>
      <c r="H15" s="12" t="s">
        <v>73</v>
      </c>
    </row>
    <row r="16" customFormat="false" ht="45" hidden="false" customHeight="true" outlineLevel="0" collapsed="false">
      <c r="A16" s="5" t="s">
        <v>74</v>
      </c>
      <c r="B16" s="6" t="s">
        <v>75</v>
      </c>
      <c r="C16" s="7" t="s">
        <v>76</v>
      </c>
      <c r="D16" s="8" t="s">
        <v>33</v>
      </c>
      <c r="E16" s="9" t="n">
        <v>7500</v>
      </c>
      <c r="F16" s="7" t="s">
        <v>14</v>
      </c>
      <c r="G16" s="7" t="s">
        <v>38</v>
      </c>
      <c r="H16" s="7" t="s">
        <v>77</v>
      </c>
    </row>
    <row r="17" customFormat="false" ht="45" hidden="false" customHeight="true" outlineLevel="0" collapsed="false">
      <c r="A17" s="10" t="s">
        <v>78</v>
      </c>
      <c r="B17" s="11" t="s">
        <v>79</v>
      </c>
      <c r="C17" s="12" t="s">
        <v>80</v>
      </c>
      <c r="D17" s="13" t="s">
        <v>13</v>
      </c>
      <c r="E17" s="14" t="n">
        <v>15000</v>
      </c>
      <c r="F17" s="12" t="s">
        <v>21</v>
      </c>
      <c r="G17" s="12" t="s">
        <v>49</v>
      </c>
      <c r="H17" s="12" t="s">
        <v>81</v>
      </c>
    </row>
    <row r="18" customFormat="false" ht="45" hidden="false" customHeight="true" outlineLevel="0" collapsed="false">
      <c r="A18" s="5" t="s">
        <v>82</v>
      </c>
      <c r="B18" s="6" t="s">
        <v>83</v>
      </c>
      <c r="C18" s="7" t="s">
        <v>84</v>
      </c>
      <c r="D18" s="8" t="s">
        <v>33</v>
      </c>
      <c r="E18" s="9" t="n">
        <v>20000</v>
      </c>
      <c r="F18" s="7" t="s">
        <v>62</v>
      </c>
      <c r="G18" s="7" t="s">
        <v>63</v>
      </c>
      <c r="H18" s="7" t="s">
        <v>85</v>
      </c>
    </row>
    <row r="19" customFormat="false" ht="45" hidden="false" customHeight="true" outlineLevel="0" collapsed="false">
      <c r="A19" s="10" t="s">
        <v>86</v>
      </c>
      <c r="B19" s="11" t="s">
        <v>87</v>
      </c>
      <c r="C19" s="12" t="s">
        <v>88</v>
      </c>
      <c r="D19" s="13" t="s">
        <v>27</v>
      </c>
      <c r="E19" s="14" t="n">
        <v>38000</v>
      </c>
      <c r="F19" s="12" t="s">
        <v>89</v>
      </c>
      <c r="G19" s="12" t="s">
        <v>90</v>
      </c>
      <c r="H19" s="12" t="s">
        <v>91</v>
      </c>
    </row>
    <row r="20" customFormat="false" ht="45" hidden="false" customHeight="true" outlineLevel="0" collapsed="false">
      <c r="A20" s="5" t="s">
        <v>92</v>
      </c>
      <c r="B20" s="6" t="s">
        <v>93</v>
      </c>
      <c r="C20" s="7" t="s">
        <v>94</v>
      </c>
      <c r="D20" s="8" t="s">
        <v>13</v>
      </c>
      <c r="E20" s="9" t="n">
        <v>55000</v>
      </c>
      <c r="F20" s="7" t="s">
        <v>89</v>
      </c>
      <c r="G20" s="7" t="s">
        <v>95</v>
      </c>
      <c r="H20" s="7" t="s">
        <v>96</v>
      </c>
    </row>
    <row r="21" customFormat="false" ht="45" hidden="false" customHeight="true" outlineLevel="0" collapsed="false">
      <c r="A21" s="10" t="s">
        <v>97</v>
      </c>
      <c r="B21" s="11" t="s">
        <v>98</v>
      </c>
      <c r="C21" s="12" t="s">
        <v>99</v>
      </c>
      <c r="D21" s="13" t="s">
        <v>27</v>
      </c>
      <c r="E21" s="14" t="n">
        <v>42000</v>
      </c>
      <c r="F21" s="12" t="s">
        <v>89</v>
      </c>
      <c r="G21" s="12" t="s">
        <v>100</v>
      </c>
      <c r="H21" s="12" t="s">
        <v>101</v>
      </c>
    </row>
    <row r="22" customFormat="false" ht="45" hidden="false" customHeight="true" outlineLevel="0" collapsed="false">
      <c r="A22" s="5" t="s">
        <v>102</v>
      </c>
      <c r="B22" s="6" t="s">
        <v>103</v>
      </c>
      <c r="C22" s="7" t="s">
        <v>104</v>
      </c>
      <c r="D22" s="8" t="s">
        <v>33</v>
      </c>
      <c r="E22" s="9" t="n">
        <v>75000</v>
      </c>
      <c r="F22" s="7" t="s">
        <v>89</v>
      </c>
      <c r="G22" s="7" t="s">
        <v>28</v>
      </c>
      <c r="H22" s="7" t="s">
        <v>105</v>
      </c>
    </row>
    <row r="23" customFormat="false" ht="45" hidden="false" customHeight="true" outlineLevel="0" collapsed="false">
      <c r="A23" s="10" t="s">
        <v>106</v>
      </c>
      <c r="B23" s="11" t="s">
        <v>107</v>
      </c>
      <c r="C23" s="12" t="s">
        <v>108</v>
      </c>
      <c r="D23" s="13" t="s">
        <v>13</v>
      </c>
      <c r="E23" s="14" t="n">
        <v>32000</v>
      </c>
      <c r="F23" s="12" t="s">
        <v>89</v>
      </c>
      <c r="G23" s="12" t="s">
        <v>109</v>
      </c>
      <c r="H23" s="12" t="s">
        <v>110</v>
      </c>
    </row>
    <row r="24" customFormat="false" ht="45" hidden="false" customHeight="true" outlineLevel="0" collapsed="false">
      <c r="A24" s="5" t="s">
        <v>111</v>
      </c>
      <c r="B24" s="6" t="s">
        <v>112</v>
      </c>
      <c r="C24" s="7" t="s">
        <v>113</v>
      </c>
      <c r="D24" s="8" t="s">
        <v>33</v>
      </c>
      <c r="E24" s="9" t="n">
        <v>14000</v>
      </c>
      <c r="F24" s="7" t="s">
        <v>114</v>
      </c>
      <c r="G24" s="7" t="s">
        <v>115</v>
      </c>
      <c r="H24" s="7" t="s">
        <v>116</v>
      </c>
    </row>
    <row r="25" customFormat="false" ht="45" hidden="false" customHeight="true" outlineLevel="0" collapsed="false">
      <c r="A25" s="10" t="s">
        <v>117</v>
      </c>
      <c r="B25" s="11" t="s">
        <v>118</v>
      </c>
      <c r="C25" s="12" t="s">
        <v>119</v>
      </c>
      <c r="D25" s="13" t="s">
        <v>33</v>
      </c>
      <c r="E25" s="14" t="n">
        <v>28000</v>
      </c>
      <c r="F25" s="12" t="s">
        <v>114</v>
      </c>
      <c r="G25" s="12" t="s">
        <v>120</v>
      </c>
      <c r="H25" s="12" t="s">
        <v>121</v>
      </c>
    </row>
    <row r="26" customFormat="false" ht="45" hidden="false" customHeight="true" outlineLevel="0" collapsed="false">
      <c r="A26" s="5" t="s">
        <v>122</v>
      </c>
      <c r="B26" s="6" t="s">
        <v>123</v>
      </c>
      <c r="C26" s="7" t="s">
        <v>124</v>
      </c>
      <c r="D26" s="8" t="s">
        <v>20</v>
      </c>
      <c r="E26" s="9" t="n">
        <v>9000</v>
      </c>
      <c r="F26" s="7" t="s">
        <v>114</v>
      </c>
      <c r="G26" s="7" t="s">
        <v>63</v>
      </c>
      <c r="H26" s="7" t="s">
        <v>125</v>
      </c>
    </row>
    <row r="27" customFormat="false" ht="45" hidden="false" customHeight="true" outlineLevel="0" collapsed="false">
      <c r="A27" s="10" t="s">
        <v>126</v>
      </c>
      <c r="B27" s="11" t="s">
        <v>127</v>
      </c>
      <c r="C27" s="12" t="s">
        <v>128</v>
      </c>
      <c r="D27" s="13" t="s">
        <v>13</v>
      </c>
      <c r="E27" s="14" t="n">
        <v>29000</v>
      </c>
      <c r="F27" s="12" t="s">
        <v>89</v>
      </c>
      <c r="G27" s="12" t="s">
        <v>129</v>
      </c>
      <c r="H27" s="12" t="s">
        <v>130</v>
      </c>
    </row>
    <row r="28" customFormat="false" ht="45" hidden="false" customHeight="true" outlineLevel="0" collapsed="false">
      <c r="A28" s="5" t="s">
        <v>131</v>
      </c>
      <c r="B28" s="6" t="s">
        <v>132</v>
      </c>
      <c r="C28" s="7" t="s">
        <v>133</v>
      </c>
      <c r="D28" s="8" t="s">
        <v>20</v>
      </c>
      <c r="E28" s="9" t="n">
        <v>7500</v>
      </c>
      <c r="F28" s="7" t="s">
        <v>114</v>
      </c>
      <c r="G28" s="7" t="s">
        <v>63</v>
      </c>
      <c r="H28" s="7" t="s">
        <v>134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25"/>
    <col collapsed="false" customWidth="true" hidden="false" outlineLevel="0" max="9" min="9" style="1" width="16"/>
  </cols>
  <sheetData>
    <row r="1" customFormat="false" ht="31.5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136</v>
      </c>
      <c r="B2" s="3"/>
      <c r="C2" s="3"/>
      <c r="D2" s="3"/>
      <c r="E2" s="3"/>
      <c r="F2" s="3"/>
      <c r="G2" s="3"/>
      <c r="H2" s="3"/>
      <c r="I2" s="3"/>
    </row>
    <row r="3" customFormat="false" ht="24" hidden="false" customHeight="true" outlineLevel="0" collapsed="false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  <c r="H3" s="4" t="s">
        <v>144</v>
      </c>
      <c r="I3" s="4" t="s">
        <v>145</v>
      </c>
    </row>
    <row r="4" customFormat="false" ht="21.75" hidden="false" customHeight="true" outlineLevel="0" collapsed="false">
      <c r="A4" s="15" t="s">
        <v>146</v>
      </c>
      <c r="B4" s="16" t="s">
        <v>147</v>
      </c>
      <c r="C4" s="17" t="s">
        <v>13</v>
      </c>
      <c r="D4" s="17" t="s">
        <v>148</v>
      </c>
      <c r="E4" s="18" t="n">
        <v>4.2</v>
      </c>
      <c r="F4" s="18" t="n">
        <v>1</v>
      </c>
      <c r="G4" s="18" t="n">
        <v>10</v>
      </c>
      <c r="H4" s="19" t="s">
        <v>149</v>
      </c>
      <c r="I4" s="20" t="str">
        <f aca="false">IF(E4&lt;F4,"Stock Bajo",IF(E4&gt;=G4,"Stock Maximo","OK"))</f>
        <v>OK</v>
      </c>
    </row>
    <row r="5" customFormat="false" ht="21.75" hidden="false" customHeight="true" outlineLevel="0" collapsed="false">
      <c r="A5" s="10" t="s">
        <v>150</v>
      </c>
      <c r="B5" s="11" t="s">
        <v>151</v>
      </c>
      <c r="C5" s="13" t="s">
        <v>13</v>
      </c>
      <c r="D5" s="13" t="s">
        <v>152</v>
      </c>
      <c r="E5" s="21" t="n">
        <v>2.8</v>
      </c>
      <c r="F5" s="21" t="n">
        <v>1</v>
      </c>
      <c r="G5" s="21" t="n">
        <v>8</v>
      </c>
      <c r="H5" s="12" t="s">
        <v>149</v>
      </c>
      <c r="I5" s="20" t="str">
        <f aca="false">IF(E5&lt;F5,"Stock Bajo",IF(E5&gt;=G5,"Stock Maximo","OK"))</f>
        <v>OK</v>
      </c>
    </row>
    <row r="6" customFormat="false" ht="21.75" hidden="false" customHeight="true" outlineLevel="0" collapsed="false">
      <c r="A6" s="15" t="s">
        <v>153</v>
      </c>
      <c r="B6" s="16" t="s">
        <v>154</v>
      </c>
      <c r="C6" s="17" t="s">
        <v>13</v>
      </c>
      <c r="D6" s="17" t="s">
        <v>155</v>
      </c>
      <c r="E6" s="18" t="n">
        <v>1.5</v>
      </c>
      <c r="F6" s="18" t="n">
        <v>1</v>
      </c>
      <c r="G6" s="18" t="n">
        <v>8</v>
      </c>
      <c r="H6" s="19" t="s">
        <v>156</v>
      </c>
      <c r="I6" s="20" t="str">
        <f aca="false">IF(E6&lt;F6,"Stock Bajo",IF(E6&gt;=G6,"Stock Maximo","OK"))</f>
        <v>OK</v>
      </c>
    </row>
    <row r="7" customFormat="false" ht="21.75" hidden="false" customHeight="true" outlineLevel="0" collapsed="false">
      <c r="A7" s="10" t="s">
        <v>157</v>
      </c>
      <c r="B7" s="11" t="s">
        <v>158</v>
      </c>
      <c r="C7" s="13" t="s">
        <v>13</v>
      </c>
      <c r="D7" s="13" t="s">
        <v>159</v>
      </c>
      <c r="E7" s="21" t="n">
        <v>3</v>
      </c>
      <c r="F7" s="21" t="n">
        <v>1</v>
      </c>
      <c r="G7" s="21" t="n">
        <v>8</v>
      </c>
      <c r="H7" s="12" t="s">
        <v>149</v>
      </c>
      <c r="I7" s="20" t="str">
        <f aca="false">IF(E7&lt;F7,"Stock Bajo",IF(E7&gt;=G7,"Stock Maximo","OK"))</f>
        <v>OK</v>
      </c>
    </row>
    <row r="8" customFormat="false" ht="21.75" hidden="false" customHeight="true" outlineLevel="0" collapsed="false">
      <c r="A8" s="15" t="s">
        <v>160</v>
      </c>
      <c r="B8" s="16" t="s">
        <v>161</v>
      </c>
      <c r="C8" s="17" t="s">
        <v>13</v>
      </c>
      <c r="D8" s="17" t="s">
        <v>162</v>
      </c>
      <c r="E8" s="18" t="n">
        <v>0.7</v>
      </c>
      <c r="F8" s="18" t="n">
        <v>1</v>
      </c>
      <c r="G8" s="18" t="n">
        <v>6</v>
      </c>
      <c r="H8" s="19" t="s">
        <v>156</v>
      </c>
      <c r="I8" s="22" t="str">
        <f aca="false">IF(E8&lt;F8,"Stock Bajo",IF(E8&gt;=G8,"Stock Maximo","OK"))</f>
        <v>Stock Bajo</v>
      </c>
    </row>
    <row r="9" customFormat="false" ht="21.75" hidden="false" customHeight="true" outlineLevel="0" collapsed="false">
      <c r="A9" s="10" t="s">
        <v>163</v>
      </c>
      <c r="B9" s="11" t="s">
        <v>164</v>
      </c>
      <c r="C9" s="13" t="s">
        <v>13</v>
      </c>
      <c r="D9" s="13" t="s">
        <v>165</v>
      </c>
      <c r="E9" s="21" t="n">
        <v>5</v>
      </c>
      <c r="F9" s="21" t="n">
        <v>1.5</v>
      </c>
      <c r="G9" s="21" t="n">
        <v>10</v>
      </c>
      <c r="H9" s="12" t="s">
        <v>149</v>
      </c>
      <c r="I9" s="20" t="str">
        <f aca="false">IF(E9&lt;F9,"Stock Bajo",IF(E9&gt;=G9,"Stock Maximo","OK"))</f>
        <v>OK</v>
      </c>
    </row>
    <row r="10" customFormat="false" ht="21.75" hidden="false" customHeight="true" outlineLevel="0" collapsed="false">
      <c r="A10" s="15" t="s">
        <v>166</v>
      </c>
      <c r="B10" s="16" t="s">
        <v>167</v>
      </c>
      <c r="C10" s="17" t="s">
        <v>27</v>
      </c>
      <c r="D10" s="17" t="s">
        <v>168</v>
      </c>
      <c r="E10" s="18" t="n">
        <v>2.1</v>
      </c>
      <c r="F10" s="18" t="n">
        <v>1</v>
      </c>
      <c r="G10" s="18" t="n">
        <v>8</v>
      </c>
      <c r="H10" s="19" t="s">
        <v>169</v>
      </c>
      <c r="I10" s="20" t="str">
        <f aca="false">IF(E10&lt;F10,"Stock Bajo",IF(E10&gt;=G10,"Stock Maximo","OK"))</f>
        <v>OK</v>
      </c>
    </row>
    <row r="11" customFormat="false" ht="21.75" hidden="false" customHeight="true" outlineLevel="0" collapsed="false">
      <c r="A11" s="10" t="s">
        <v>170</v>
      </c>
      <c r="B11" s="11" t="s">
        <v>171</v>
      </c>
      <c r="C11" s="13" t="s">
        <v>33</v>
      </c>
      <c r="D11" s="13" t="s">
        <v>172</v>
      </c>
      <c r="E11" s="21" t="n">
        <v>1.8</v>
      </c>
      <c r="F11" s="21" t="n">
        <v>1</v>
      </c>
      <c r="G11" s="21" t="n">
        <v>6</v>
      </c>
      <c r="H11" s="12" t="s">
        <v>169</v>
      </c>
      <c r="I11" s="20" t="str">
        <f aca="false">IF(E11&lt;F11,"Stock Bajo",IF(E11&gt;=G11,"Stock Maximo","OK"))</f>
        <v>OK</v>
      </c>
    </row>
    <row r="12" customFormat="false" ht="21.75" hidden="false" customHeight="true" outlineLevel="0" collapsed="false">
      <c r="A12" s="15" t="s">
        <v>173</v>
      </c>
      <c r="B12" s="16" t="s">
        <v>174</v>
      </c>
      <c r="C12" s="17" t="s">
        <v>33</v>
      </c>
      <c r="D12" s="17" t="s">
        <v>148</v>
      </c>
      <c r="E12" s="18" t="n">
        <v>2.5</v>
      </c>
      <c r="F12" s="18" t="n">
        <v>1</v>
      </c>
      <c r="G12" s="18" t="n">
        <v>6</v>
      </c>
      <c r="H12" s="19" t="s">
        <v>169</v>
      </c>
      <c r="I12" s="20" t="str">
        <f aca="false">IF(E12&lt;F12,"Stock Bajo",IF(E12&gt;=G12,"Stock Maximo","OK"))</f>
        <v>OK</v>
      </c>
    </row>
    <row r="13" customFormat="false" ht="21.75" hidden="false" customHeight="true" outlineLevel="0" collapsed="false">
      <c r="A13" s="10" t="s">
        <v>175</v>
      </c>
      <c r="B13" s="11" t="s">
        <v>176</v>
      </c>
      <c r="C13" s="13" t="s">
        <v>20</v>
      </c>
      <c r="D13" s="13" t="s">
        <v>165</v>
      </c>
      <c r="E13" s="21" t="n">
        <v>1.2</v>
      </c>
      <c r="F13" s="21" t="n">
        <v>0.5</v>
      </c>
      <c r="G13" s="21" t="n">
        <v>4</v>
      </c>
      <c r="H13" s="12" t="s">
        <v>177</v>
      </c>
      <c r="I13" s="20" t="str">
        <f aca="false">IF(E13&lt;F13,"Stock Bajo",IF(E13&gt;=G13,"Stock Maximo","OK"))</f>
        <v>OK</v>
      </c>
    </row>
    <row r="14" customFormat="false" ht="21.75" hidden="false" customHeight="true" outlineLevel="0" collapsed="false">
      <c r="A14" s="15" t="s">
        <v>178</v>
      </c>
      <c r="B14" s="16" t="s">
        <v>176</v>
      </c>
      <c r="C14" s="17" t="s">
        <v>20</v>
      </c>
      <c r="D14" s="17" t="s">
        <v>148</v>
      </c>
      <c r="E14" s="18" t="n">
        <v>0.4</v>
      </c>
      <c r="F14" s="18" t="n">
        <v>0.5</v>
      </c>
      <c r="G14" s="18" t="n">
        <v>4</v>
      </c>
      <c r="H14" s="19" t="s">
        <v>177</v>
      </c>
      <c r="I14" s="22" t="str">
        <f aca="false">IF(E14&lt;F14,"Stock Bajo",IF(E14&gt;=G14,"Stock Maximo","OK"))</f>
        <v>Stock Bajo</v>
      </c>
    </row>
    <row r="15" customFormat="false" ht="21.75" hidden="false" customHeight="true" outlineLevel="0" collapsed="false">
      <c r="A15" s="10" t="s">
        <v>179</v>
      </c>
      <c r="B15" s="11" t="s">
        <v>180</v>
      </c>
      <c r="C15" s="13" t="s">
        <v>181</v>
      </c>
      <c r="D15" s="13" t="s">
        <v>182</v>
      </c>
      <c r="E15" s="21" t="n">
        <v>0.8</v>
      </c>
      <c r="F15" s="21" t="n">
        <v>0.5</v>
      </c>
      <c r="G15" s="21" t="n">
        <v>3</v>
      </c>
      <c r="H15" s="12" t="s">
        <v>183</v>
      </c>
      <c r="I15" s="20" t="str">
        <f aca="false">IF(E15&lt;F15,"Stock Bajo",IF(E15&gt;=G15,"Stock Maximo","OK"))</f>
        <v>OK</v>
      </c>
    </row>
    <row r="16" customFormat="false" ht="21.75" hidden="false" customHeight="true" outlineLevel="0" collapsed="false">
      <c r="A16" s="15" t="s">
        <v>184</v>
      </c>
      <c r="B16" s="16" t="s">
        <v>185</v>
      </c>
      <c r="C16" s="17" t="s">
        <v>13</v>
      </c>
      <c r="D16" s="17" t="s">
        <v>186</v>
      </c>
      <c r="E16" s="18" t="n">
        <v>1.5</v>
      </c>
      <c r="F16" s="18" t="n">
        <v>1</v>
      </c>
      <c r="G16" s="18" t="n">
        <v>6</v>
      </c>
      <c r="H16" s="19" t="s">
        <v>149</v>
      </c>
      <c r="I16" s="20" t="str">
        <f aca="false">IF(E16&lt;F16,"Stock Bajo",IF(E16&gt;=G16,"Stock Maximo","OK"))</f>
        <v>OK</v>
      </c>
    </row>
    <row r="17" customFormat="false" ht="21.75" hidden="false" customHeight="true" outlineLevel="0" collapsed="false">
      <c r="A17" s="10" t="s">
        <v>187</v>
      </c>
      <c r="B17" s="11" t="s">
        <v>188</v>
      </c>
      <c r="C17" s="13" t="s">
        <v>33</v>
      </c>
      <c r="D17" s="13" t="s">
        <v>182</v>
      </c>
      <c r="E17" s="21" t="n">
        <v>2</v>
      </c>
      <c r="F17" s="21" t="n">
        <v>1</v>
      </c>
      <c r="G17" s="21" t="n">
        <v>6</v>
      </c>
      <c r="H17" s="12" t="s">
        <v>169</v>
      </c>
      <c r="I17" s="20" t="str">
        <f aca="false">IF(E17&lt;F17,"Stock Bajo",IF(E17&gt;=G17,"Stock Maximo","OK"))</f>
        <v>OK</v>
      </c>
    </row>
    <row r="18" customFormat="false" ht="21.75" hidden="false" customHeight="true" outlineLevel="0" collapsed="false">
      <c r="A18" s="15" t="s">
        <v>189</v>
      </c>
      <c r="B18" s="16" t="s">
        <v>190</v>
      </c>
      <c r="C18" s="17" t="s">
        <v>191</v>
      </c>
      <c r="D18" s="17" t="s">
        <v>165</v>
      </c>
      <c r="E18" s="18" t="n">
        <v>1</v>
      </c>
      <c r="F18" s="18" t="n">
        <v>1</v>
      </c>
      <c r="G18" s="18" t="n">
        <v>5</v>
      </c>
      <c r="H18" s="19" t="s">
        <v>156</v>
      </c>
      <c r="I18" s="20" t="str">
        <f aca="false">IF(E18&lt;F18,"Stock Bajo",IF(E18&gt;=G18,"Stock Maximo","OK"))</f>
        <v>OK</v>
      </c>
    </row>
    <row r="19" customFormat="false" ht="21.75" hidden="false" customHeight="true" outlineLevel="0" collapsed="false">
      <c r="A19" s="10" t="s">
        <v>192</v>
      </c>
      <c r="B19" s="11" t="s">
        <v>193</v>
      </c>
      <c r="C19" s="13" t="s">
        <v>27</v>
      </c>
      <c r="D19" s="13" t="s">
        <v>194</v>
      </c>
      <c r="E19" s="21" t="n">
        <v>0.6</v>
      </c>
      <c r="F19" s="21" t="n">
        <v>1</v>
      </c>
      <c r="G19" s="21" t="n">
        <v>5</v>
      </c>
      <c r="H19" s="12" t="s">
        <v>149</v>
      </c>
      <c r="I19" s="22" t="str">
        <f aca="false">IF(E19&lt;F19,"Stock Bajo",IF(E19&gt;=G19,"Stock Maximo","OK"))</f>
        <v>Stock Bajo</v>
      </c>
    </row>
    <row r="20" customFormat="false" ht="15" hidden="false" customHeight="true" outlineLevel="0" collapsed="false">
      <c r="B20" s="23" t="s">
        <v>195</v>
      </c>
      <c r="E20" s="24" t="n">
        <f aca="false">SUM(E4:E19)</f>
        <v>31.1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8"/>
  </cols>
  <sheetData>
    <row r="1" customFormat="false" ht="31.5" hidden="false" customHeight="true" outlineLevel="0" collapsed="false">
      <c r="A1" s="2" t="s">
        <v>196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197</v>
      </c>
      <c r="B2" s="3"/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4" t="s">
        <v>198</v>
      </c>
      <c r="B3" s="4" t="s">
        <v>199</v>
      </c>
      <c r="C3" s="4" t="s">
        <v>200</v>
      </c>
      <c r="D3" s="4" t="s">
        <v>201</v>
      </c>
      <c r="E3" s="4" t="s">
        <v>202</v>
      </c>
      <c r="F3" s="4" t="s">
        <v>203</v>
      </c>
      <c r="G3" s="4" t="s">
        <v>204</v>
      </c>
      <c r="H3" s="4" t="s">
        <v>145</v>
      </c>
    </row>
    <row r="4" customFormat="false" ht="27.75" hidden="false" customHeight="true" outlineLevel="0" collapsed="false">
      <c r="A4" s="25" t="s">
        <v>205</v>
      </c>
      <c r="B4" s="26" t="s">
        <v>206</v>
      </c>
      <c r="C4" s="27" t="s">
        <v>11</v>
      </c>
      <c r="D4" s="28" t="n">
        <v>3</v>
      </c>
      <c r="E4" s="29" t="s">
        <v>207</v>
      </c>
      <c r="F4" s="26" t="s">
        <v>208</v>
      </c>
      <c r="G4" s="22" t="s">
        <v>209</v>
      </c>
      <c r="H4" s="20" t="s">
        <v>210</v>
      </c>
    </row>
    <row r="5" customFormat="false" ht="27.75" hidden="false" customHeight="true" outlineLevel="0" collapsed="false">
      <c r="A5" s="25" t="s">
        <v>211</v>
      </c>
      <c r="B5" s="26" t="s">
        <v>212</v>
      </c>
      <c r="C5" s="27" t="s">
        <v>31</v>
      </c>
      <c r="D5" s="28" t="n">
        <v>5</v>
      </c>
      <c r="E5" s="29" t="s">
        <v>213</v>
      </c>
      <c r="F5" s="26" t="s">
        <v>214</v>
      </c>
      <c r="G5" s="22" t="s">
        <v>209</v>
      </c>
      <c r="H5" s="20" t="s">
        <v>210</v>
      </c>
    </row>
    <row r="6" customFormat="false" ht="27.75" hidden="false" customHeight="true" outlineLevel="0" collapsed="false">
      <c r="A6" s="25" t="s">
        <v>215</v>
      </c>
      <c r="B6" s="26" t="s">
        <v>216</v>
      </c>
      <c r="C6" s="27" t="s">
        <v>18</v>
      </c>
      <c r="D6" s="28" t="n">
        <v>4</v>
      </c>
      <c r="E6" s="29" t="s">
        <v>217</v>
      </c>
      <c r="F6" s="26" t="s">
        <v>218</v>
      </c>
      <c r="G6" s="30" t="s">
        <v>219</v>
      </c>
      <c r="H6" s="20" t="s">
        <v>210</v>
      </c>
    </row>
    <row r="7" customFormat="false" ht="27.75" hidden="false" customHeight="true" outlineLevel="0" collapsed="false">
      <c r="A7" s="31" t="s">
        <v>220</v>
      </c>
      <c r="B7" s="32" t="s">
        <v>221</v>
      </c>
      <c r="C7" s="33" t="s">
        <v>41</v>
      </c>
      <c r="D7" s="34" t="n">
        <v>2</v>
      </c>
      <c r="E7" s="35" t="s">
        <v>222</v>
      </c>
      <c r="F7" s="32" t="s">
        <v>223</v>
      </c>
      <c r="G7" s="22" t="s">
        <v>209</v>
      </c>
      <c r="H7" s="36" t="s">
        <v>224</v>
      </c>
    </row>
    <row r="8" customFormat="false" ht="27.75" hidden="false" customHeight="true" outlineLevel="0" collapsed="false">
      <c r="A8" s="31" t="s">
        <v>225</v>
      </c>
      <c r="B8" s="32" t="s">
        <v>226</v>
      </c>
      <c r="C8" s="33" t="s">
        <v>56</v>
      </c>
      <c r="D8" s="34" t="n">
        <v>6</v>
      </c>
      <c r="E8" s="35" t="s">
        <v>227</v>
      </c>
      <c r="F8" s="32" t="s">
        <v>228</v>
      </c>
      <c r="G8" s="30" t="s">
        <v>219</v>
      </c>
      <c r="H8" s="36" t="s">
        <v>224</v>
      </c>
    </row>
    <row r="9" customFormat="false" ht="27.75" hidden="false" customHeight="true" outlineLevel="0" collapsed="false">
      <c r="A9" s="37" t="s">
        <v>229</v>
      </c>
      <c r="B9" s="38" t="s">
        <v>230</v>
      </c>
      <c r="C9" s="39" t="s">
        <v>25</v>
      </c>
      <c r="D9" s="40" t="n">
        <v>3</v>
      </c>
      <c r="E9" s="41" t="s">
        <v>231</v>
      </c>
      <c r="F9" s="38" t="s">
        <v>208</v>
      </c>
      <c r="G9" s="30" t="s">
        <v>219</v>
      </c>
      <c r="H9" s="42" t="s">
        <v>232</v>
      </c>
    </row>
    <row r="10" customFormat="false" ht="27.75" hidden="false" customHeight="true" outlineLevel="0" collapsed="false">
      <c r="A10" s="37" t="s">
        <v>233</v>
      </c>
      <c r="B10" s="38" t="s">
        <v>234</v>
      </c>
      <c r="C10" s="39" t="s">
        <v>60</v>
      </c>
      <c r="D10" s="40" t="n">
        <v>10</v>
      </c>
      <c r="E10" s="41" t="s">
        <v>235</v>
      </c>
      <c r="F10" s="38" t="s">
        <v>214</v>
      </c>
      <c r="G10" s="22" t="s">
        <v>209</v>
      </c>
      <c r="H10" s="42" t="s">
        <v>232</v>
      </c>
    </row>
    <row r="11" customFormat="false" ht="27.75" hidden="false" customHeight="true" outlineLevel="0" collapsed="false">
      <c r="A11" s="43" t="s">
        <v>236</v>
      </c>
      <c r="B11" s="44" t="s">
        <v>206</v>
      </c>
      <c r="C11" s="45" t="s">
        <v>36</v>
      </c>
      <c r="D11" s="46" t="n">
        <v>2</v>
      </c>
      <c r="E11" s="47" t="s">
        <v>237</v>
      </c>
      <c r="F11" s="44" t="s">
        <v>218</v>
      </c>
      <c r="G11" s="30" t="s">
        <v>219</v>
      </c>
      <c r="H11" s="48" t="s">
        <v>238</v>
      </c>
    </row>
    <row r="12" customFormat="false" ht="27.75" hidden="false" customHeight="true" outlineLevel="0" collapsed="false">
      <c r="A12" s="43" t="s">
        <v>239</v>
      </c>
      <c r="B12" s="44" t="s">
        <v>212</v>
      </c>
      <c r="C12" s="45" t="s">
        <v>52</v>
      </c>
      <c r="D12" s="46" t="n">
        <v>8</v>
      </c>
      <c r="E12" s="47" t="s">
        <v>240</v>
      </c>
      <c r="F12" s="44" t="s">
        <v>223</v>
      </c>
      <c r="G12" s="22" t="s">
        <v>209</v>
      </c>
      <c r="H12" s="48" t="s">
        <v>238</v>
      </c>
    </row>
    <row r="13" customFormat="false" ht="27.75" hidden="false" customHeight="true" outlineLevel="0" collapsed="false">
      <c r="A13" s="43" t="s">
        <v>241</v>
      </c>
      <c r="B13" s="44" t="s">
        <v>216</v>
      </c>
      <c r="C13" s="45" t="s">
        <v>47</v>
      </c>
      <c r="D13" s="46" t="n">
        <v>5</v>
      </c>
      <c r="E13" s="47" t="s">
        <v>242</v>
      </c>
      <c r="F13" s="44" t="s">
        <v>228</v>
      </c>
      <c r="G13" s="20" t="s">
        <v>243</v>
      </c>
      <c r="H13" s="48" t="s">
        <v>238</v>
      </c>
    </row>
    <row r="14" customFormat="false" ht="27.75" hidden="false" customHeight="true" outlineLevel="0" collapsed="false">
      <c r="A14" s="5" t="s">
        <v>244</v>
      </c>
      <c r="B14" s="7" t="s">
        <v>221</v>
      </c>
      <c r="C14" s="6" t="s">
        <v>66</v>
      </c>
      <c r="D14" s="49" t="n">
        <v>3</v>
      </c>
      <c r="E14" s="8" t="s">
        <v>245</v>
      </c>
      <c r="F14" s="7" t="s">
        <v>208</v>
      </c>
      <c r="G14" s="30" t="s">
        <v>219</v>
      </c>
      <c r="H14" s="50" t="s">
        <v>246</v>
      </c>
    </row>
    <row r="15" customFormat="false" ht="27.75" hidden="false" customHeight="true" outlineLevel="0" collapsed="false">
      <c r="A15" s="5" t="s">
        <v>247</v>
      </c>
      <c r="B15" s="7" t="s">
        <v>230</v>
      </c>
      <c r="C15" s="6" t="s">
        <v>71</v>
      </c>
      <c r="D15" s="49" t="n">
        <v>4</v>
      </c>
      <c r="E15" s="8" t="s">
        <v>248</v>
      </c>
      <c r="F15" s="7" t="s">
        <v>214</v>
      </c>
      <c r="G15" s="20" t="s">
        <v>243</v>
      </c>
      <c r="H15" s="50" t="s">
        <v>246</v>
      </c>
    </row>
    <row r="16" customFormat="false" ht="27.75" hidden="false" customHeight="true" outlineLevel="0" collapsed="false">
      <c r="A16" s="5" t="s">
        <v>249</v>
      </c>
      <c r="B16" s="7" t="s">
        <v>226</v>
      </c>
      <c r="C16" s="6" t="s">
        <v>83</v>
      </c>
      <c r="D16" s="49" t="n">
        <v>2</v>
      </c>
      <c r="E16" s="8" t="s">
        <v>250</v>
      </c>
      <c r="F16" s="7" t="s">
        <v>218</v>
      </c>
      <c r="G16" s="30" t="s">
        <v>219</v>
      </c>
      <c r="H16" s="50" t="s">
        <v>246</v>
      </c>
    </row>
    <row r="17" customFormat="false" ht="27.75" hidden="false" customHeight="true" outlineLevel="0" collapsed="false">
      <c r="A17" s="5" t="s">
        <v>251</v>
      </c>
      <c r="B17" s="7" t="s">
        <v>234</v>
      </c>
      <c r="C17" s="6" t="s">
        <v>79</v>
      </c>
      <c r="D17" s="49" t="n">
        <v>3</v>
      </c>
      <c r="E17" s="8" t="s">
        <v>252</v>
      </c>
      <c r="F17" s="7" t="s">
        <v>223</v>
      </c>
      <c r="G17" s="22" t="s">
        <v>209</v>
      </c>
      <c r="H17" s="50" t="s">
        <v>246</v>
      </c>
    </row>
    <row r="18" customFormat="false" ht="27.75" hidden="false" customHeight="true" outlineLevel="0" collapsed="false">
      <c r="A18" s="5" t="s">
        <v>253</v>
      </c>
      <c r="B18" s="7" t="s">
        <v>230</v>
      </c>
      <c r="C18" s="6" t="s">
        <v>75</v>
      </c>
      <c r="D18" s="49" t="n">
        <v>6</v>
      </c>
      <c r="E18" s="8" t="s">
        <v>252</v>
      </c>
      <c r="F18" s="7" t="s">
        <v>228</v>
      </c>
      <c r="G18" s="20" t="s">
        <v>243</v>
      </c>
      <c r="H18" s="50" t="s">
        <v>246</v>
      </c>
    </row>
    <row r="19" customFormat="false" ht="27.75" hidden="false" customHeight="true" outlineLevel="0" collapsed="false">
      <c r="A19" s="43" t="s">
        <v>254</v>
      </c>
      <c r="B19" s="44" t="s">
        <v>255</v>
      </c>
      <c r="C19" s="45" t="s">
        <v>87</v>
      </c>
      <c r="D19" s="46" t="n">
        <v>4</v>
      </c>
      <c r="E19" s="47" t="s">
        <v>256</v>
      </c>
      <c r="F19" s="44" t="s">
        <v>208</v>
      </c>
      <c r="G19" s="22" t="s">
        <v>209</v>
      </c>
      <c r="H19" s="48" t="s">
        <v>238</v>
      </c>
    </row>
    <row r="20" customFormat="false" ht="27.75" hidden="false" customHeight="true" outlineLevel="0" collapsed="false">
      <c r="A20" s="43" t="s">
        <v>257</v>
      </c>
      <c r="B20" s="44" t="s">
        <v>258</v>
      </c>
      <c r="C20" s="45" t="s">
        <v>93</v>
      </c>
      <c r="D20" s="46" t="n">
        <v>2</v>
      </c>
      <c r="E20" s="47" t="s">
        <v>245</v>
      </c>
      <c r="F20" s="44" t="s">
        <v>214</v>
      </c>
      <c r="G20" s="30" t="s">
        <v>219</v>
      </c>
      <c r="H20" s="48" t="s">
        <v>238</v>
      </c>
    </row>
    <row r="21" customFormat="false" ht="27.75" hidden="false" customHeight="true" outlineLevel="0" collapsed="false">
      <c r="A21" s="5" t="s">
        <v>259</v>
      </c>
      <c r="B21" s="5"/>
      <c r="C21" s="6" t="s">
        <v>98</v>
      </c>
      <c r="D21" s="49" t="n">
        <v>3</v>
      </c>
      <c r="E21" s="8" t="s">
        <v>245</v>
      </c>
      <c r="F21" s="7" t="s">
        <v>218</v>
      </c>
      <c r="G21" s="30" t="s">
        <v>219</v>
      </c>
      <c r="H21" s="50" t="s">
        <v>246</v>
      </c>
    </row>
    <row r="22" customFormat="false" ht="27.75" hidden="false" customHeight="true" outlineLevel="0" collapsed="false">
      <c r="A22" s="5" t="s">
        <v>260</v>
      </c>
      <c r="B22" s="7" t="s">
        <v>221</v>
      </c>
      <c r="C22" s="6" t="s">
        <v>123</v>
      </c>
      <c r="D22" s="49" t="n">
        <v>15</v>
      </c>
      <c r="E22" s="8" t="s">
        <v>248</v>
      </c>
      <c r="F22" s="7" t="s">
        <v>223</v>
      </c>
      <c r="G22" s="22" t="s">
        <v>209</v>
      </c>
      <c r="H22" s="50" t="s">
        <v>246</v>
      </c>
    </row>
    <row r="23" customFormat="false" ht="27.75" hidden="false" customHeight="true" outlineLevel="0" collapsed="false">
      <c r="A23" s="5" t="s">
        <v>261</v>
      </c>
      <c r="B23" s="7" t="s">
        <v>262</v>
      </c>
      <c r="C23" s="6" t="s">
        <v>118</v>
      </c>
      <c r="D23" s="49" t="n">
        <v>8</v>
      </c>
      <c r="E23" s="8" t="s">
        <v>248</v>
      </c>
      <c r="F23" s="7" t="s">
        <v>228</v>
      </c>
      <c r="G23" s="22" t="s">
        <v>209</v>
      </c>
      <c r="H23" s="50" t="s">
        <v>246</v>
      </c>
    </row>
    <row r="24" customFormat="false" ht="27.75" hidden="false" customHeight="true" outlineLevel="0" collapsed="false">
      <c r="A24" s="5" t="s">
        <v>263</v>
      </c>
      <c r="B24" s="7" t="s">
        <v>264</v>
      </c>
      <c r="C24" s="6" t="s">
        <v>127</v>
      </c>
      <c r="D24" s="49" t="n">
        <v>5</v>
      </c>
      <c r="E24" s="8" t="s">
        <v>250</v>
      </c>
      <c r="F24" s="7" t="s">
        <v>208</v>
      </c>
      <c r="G24" s="20" t="s">
        <v>243</v>
      </c>
      <c r="H24" s="50" t="s">
        <v>246</v>
      </c>
    </row>
    <row r="25" customFormat="false" ht="27.75" hidden="false" customHeight="true" outlineLevel="0" collapsed="false">
      <c r="A25" s="5" t="s">
        <v>265</v>
      </c>
      <c r="B25" s="7" t="s">
        <v>212</v>
      </c>
      <c r="C25" s="6" t="s">
        <v>132</v>
      </c>
      <c r="D25" s="49" t="n">
        <v>20</v>
      </c>
      <c r="E25" s="8" t="s">
        <v>250</v>
      </c>
      <c r="F25" s="7" t="s">
        <v>214</v>
      </c>
      <c r="G25" s="22" t="s">
        <v>209</v>
      </c>
      <c r="H25" s="50" t="s">
        <v>246</v>
      </c>
    </row>
    <row r="26" customFormat="false" ht="27.75" hidden="false" customHeight="true" outlineLevel="0" collapsed="false">
      <c r="A26" s="5" t="s">
        <v>266</v>
      </c>
      <c r="B26" s="7" t="s">
        <v>267</v>
      </c>
      <c r="C26" s="6" t="s">
        <v>268</v>
      </c>
      <c r="D26" s="49" t="n">
        <v>6</v>
      </c>
      <c r="E26" s="8" t="s">
        <v>252</v>
      </c>
      <c r="F26" s="7" t="s">
        <v>218</v>
      </c>
      <c r="G26" s="30" t="s">
        <v>219</v>
      </c>
      <c r="H26" s="50" t="s">
        <v>246</v>
      </c>
    </row>
    <row r="27" customFormat="false" ht="27.75" hidden="false" customHeight="true" outlineLevel="0" collapsed="false">
      <c r="A27" s="5" t="s">
        <v>269</v>
      </c>
      <c r="B27" s="7" t="s">
        <v>206</v>
      </c>
      <c r="C27" s="6" t="s">
        <v>103</v>
      </c>
      <c r="D27" s="49" t="n">
        <v>2</v>
      </c>
      <c r="E27" s="8" t="s">
        <v>252</v>
      </c>
      <c r="F27" s="7" t="s">
        <v>223</v>
      </c>
      <c r="G27" s="22" t="s">
        <v>209</v>
      </c>
      <c r="H27" s="50" t="s">
        <v>246</v>
      </c>
    </row>
    <row r="28" customFormat="false" ht="27.75" hidden="false" customHeight="true" outlineLevel="0" collapsed="false">
      <c r="A28" s="5" t="s">
        <v>270</v>
      </c>
      <c r="B28" s="7" t="s">
        <v>271</v>
      </c>
      <c r="C28" s="6" t="s">
        <v>112</v>
      </c>
      <c r="D28" s="49" t="n">
        <v>12</v>
      </c>
      <c r="E28" s="8" t="s">
        <v>252</v>
      </c>
      <c r="F28" s="7" t="s">
        <v>228</v>
      </c>
      <c r="G28" s="30" t="s">
        <v>219</v>
      </c>
      <c r="H28" s="50" t="s">
        <v>246</v>
      </c>
    </row>
    <row r="31" customFormat="false" ht="15" hidden="false" customHeight="true" outlineLevel="0" collapsed="false">
      <c r="A31" s="51" t="s">
        <v>272</v>
      </c>
      <c r="B31" s="51"/>
      <c r="C31" s="52"/>
    </row>
    <row r="32" customFormat="false" ht="15" hidden="false" customHeight="true" outlineLevel="0" collapsed="false">
      <c r="A32" s="53" t="s">
        <v>145</v>
      </c>
      <c r="B32" s="53" t="s">
        <v>201</v>
      </c>
      <c r="C32" s="52"/>
    </row>
    <row r="33" customFormat="false" ht="15" hidden="false" customHeight="true" outlineLevel="0" collapsed="false">
      <c r="A33" s="54" t="s">
        <v>246</v>
      </c>
      <c r="B33" s="55" t="n">
        <f aca="false">COUNTIF(H4:H28,A33)</f>
        <v>13</v>
      </c>
      <c r="C33" s="52"/>
    </row>
    <row r="34" customFormat="false" ht="15" hidden="false" customHeight="true" outlineLevel="0" collapsed="false">
      <c r="A34" s="56" t="s">
        <v>238</v>
      </c>
      <c r="B34" s="57" t="n">
        <f aca="false">COUNTIF(H4:H28,A34)</f>
        <v>5</v>
      </c>
      <c r="C34" s="52"/>
    </row>
    <row r="35" customFormat="false" ht="15" hidden="false" customHeight="true" outlineLevel="0" collapsed="false">
      <c r="A35" s="58" t="s">
        <v>232</v>
      </c>
      <c r="B35" s="59" t="n">
        <f aca="false">COUNTIF(H4:H28,A35)</f>
        <v>2</v>
      </c>
      <c r="C35" s="52"/>
    </row>
    <row r="36" customFormat="false" ht="15" hidden="false" customHeight="true" outlineLevel="0" collapsed="false">
      <c r="A36" s="60" t="s">
        <v>224</v>
      </c>
      <c r="B36" s="61" t="n">
        <f aca="false">COUNTIF(H4:H28,A36)</f>
        <v>2</v>
      </c>
      <c r="C36" s="52"/>
    </row>
    <row r="37" customFormat="false" ht="15" hidden="false" customHeight="true" outlineLevel="0" collapsed="false">
      <c r="A37" s="62" t="s">
        <v>210</v>
      </c>
      <c r="B37" s="63" t="n">
        <f aca="false">COUNTIF(H4:H28,A37)</f>
        <v>3</v>
      </c>
      <c r="C37" s="52"/>
    </row>
    <row r="38" customFormat="false" ht="15" hidden="false" customHeight="true" outlineLevel="0" collapsed="false">
      <c r="A38" s="52"/>
      <c r="B38" s="52"/>
      <c r="C38" s="52"/>
    </row>
  </sheetData>
  <mergeCells count="4">
    <mergeCell ref="A1:H1"/>
    <mergeCell ref="A2:H2"/>
    <mergeCell ref="A21:B21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22"/>
  </cols>
  <sheetData>
    <row r="1" customFormat="false" ht="31.5" hidden="false" customHeight="true" outlineLevel="0" collapsed="false">
      <c r="A1" s="2" t="s">
        <v>273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274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275</v>
      </c>
      <c r="D3" s="4" t="s">
        <v>276</v>
      </c>
      <c r="E3" s="4" t="s">
        <v>277</v>
      </c>
      <c r="F3" s="4" t="s">
        <v>278</v>
      </c>
      <c r="G3" s="4" t="s">
        <v>279</v>
      </c>
      <c r="H3" s="4" t="s">
        <v>280</v>
      </c>
      <c r="I3" s="4" t="s">
        <v>281</v>
      </c>
    </row>
    <row r="4" customFormat="false" ht="21.75" hidden="false" customHeight="true" outlineLevel="0" collapsed="false">
      <c r="A4" s="15" t="s">
        <v>10</v>
      </c>
      <c r="B4" s="16" t="s">
        <v>11</v>
      </c>
      <c r="C4" s="17" t="s">
        <v>13</v>
      </c>
      <c r="D4" s="18" t="n">
        <v>5</v>
      </c>
      <c r="E4" s="18" t="n">
        <v>1</v>
      </c>
      <c r="F4" s="64" t="n">
        <f aca="false">D4+E4</f>
        <v>6</v>
      </c>
      <c r="G4" s="65" t="n">
        <v>55</v>
      </c>
      <c r="H4" s="65" t="n">
        <v>27</v>
      </c>
      <c r="I4" s="66" t="n">
        <f aca="false">F4*5</f>
        <v>30</v>
      </c>
    </row>
    <row r="5" customFormat="false" ht="21.75" hidden="false" customHeight="true" outlineLevel="0" collapsed="false">
      <c r="A5" s="10" t="s">
        <v>17</v>
      </c>
      <c r="B5" s="11" t="s">
        <v>18</v>
      </c>
      <c r="C5" s="13" t="s">
        <v>20</v>
      </c>
      <c r="D5" s="21" t="n">
        <v>3.5</v>
      </c>
      <c r="E5" s="21" t="n">
        <v>0.5</v>
      </c>
      <c r="F5" s="67" t="n">
        <f aca="false">D5+E5</f>
        <v>4</v>
      </c>
      <c r="G5" s="68" t="n">
        <v>35</v>
      </c>
      <c r="H5" s="68" t="n">
        <v>10</v>
      </c>
      <c r="I5" s="69" t="n">
        <f aca="false">F5*5</f>
        <v>20</v>
      </c>
    </row>
    <row r="6" customFormat="false" ht="21.75" hidden="false" customHeight="true" outlineLevel="0" collapsed="false">
      <c r="A6" s="15" t="s">
        <v>24</v>
      </c>
      <c r="B6" s="16" t="s">
        <v>25</v>
      </c>
      <c r="C6" s="17" t="s">
        <v>27</v>
      </c>
      <c r="D6" s="18" t="n">
        <v>8</v>
      </c>
      <c r="E6" s="18" t="n">
        <v>2</v>
      </c>
      <c r="F6" s="64" t="n">
        <f aca="false">D6+E6</f>
        <v>10</v>
      </c>
      <c r="G6" s="65" t="n">
        <v>50</v>
      </c>
      <c r="H6" s="65" t="n">
        <v>3</v>
      </c>
      <c r="I6" s="66" t="n">
        <f aca="false">F6*5</f>
        <v>50</v>
      </c>
    </row>
    <row r="7" customFormat="false" ht="21.75" hidden="false" customHeight="true" outlineLevel="0" collapsed="false">
      <c r="A7" s="10" t="s">
        <v>30</v>
      </c>
      <c r="B7" s="11" t="s">
        <v>31</v>
      </c>
      <c r="C7" s="13" t="s">
        <v>33</v>
      </c>
      <c r="D7" s="21" t="n">
        <v>6</v>
      </c>
      <c r="E7" s="21" t="n">
        <v>1.5</v>
      </c>
      <c r="F7" s="67" t="n">
        <f aca="false">D7+E7</f>
        <v>7.5</v>
      </c>
      <c r="G7" s="68" t="n">
        <v>45</v>
      </c>
      <c r="H7" s="68" t="n">
        <v>2</v>
      </c>
      <c r="I7" s="69" t="n">
        <f aca="false">F7*5</f>
        <v>37.5</v>
      </c>
    </row>
    <row r="8" customFormat="false" ht="21.75" hidden="false" customHeight="true" outlineLevel="0" collapsed="false">
      <c r="A8" s="15" t="s">
        <v>35</v>
      </c>
      <c r="B8" s="16" t="s">
        <v>36</v>
      </c>
      <c r="C8" s="17" t="s">
        <v>13</v>
      </c>
      <c r="D8" s="18" t="n">
        <v>4.5</v>
      </c>
      <c r="E8" s="18" t="n">
        <v>0.5</v>
      </c>
      <c r="F8" s="64" t="n">
        <f aca="false">D8+E8</f>
        <v>5</v>
      </c>
      <c r="G8" s="65" t="n">
        <v>60</v>
      </c>
      <c r="H8" s="65" t="n">
        <v>60</v>
      </c>
      <c r="I8" s="66" t="n">
        <f aca="false">F8*5</f>
        <v>25</v>
      </c>
    </row>
    <row r="9" customFormat="false" ht="21.75" hidden="false" customHeight="true" outlineLevel="0" collapsed="false">
      <c r="A9" s="10" t="s">
        <v>40</v>
      </c>
      <c r="B9" s="11" t="s">
        <v>41</v>
      </c>
      <c r="C9" s="13" t="s">
        <v>27</v>
      </c>
      <c r="D9" s="21" t="n">
        <v>5.5</v>
      </c>
      <c r="E9" s="21" t="n">
        <v>1.5</v>
      </c>
      <c r="F9" s="67" t="n">
        <f aca="false">D9+E9</f>
        <v>7</v>
      </c>
      <c r="G9" s="68" t="n">
        <v>50</v>
      </c>
      <c r="H9" s="68" t="n">
        <v>1</v>
      </c>
      <c r="I9" s="69" t="n">
        <f aca="false">F9*5</f>
        <v>35</v>
      </c>
    </row>
    <row r="10" customFormat="false" ht="21.75" hidden="false" customHeight="true" outlineLevel="0" collapsed="false">
      <c r="A10" s="15" t="s">
        <v>46</v>
      </c>
      <c r="B10" s="16" t="s">
        <v>47</v>
      </c>
      <c r="C10" s="17" t="s">
        <v>13</v>
      </c>
      <c r="D10" s="18" t="n">
        <v>6</v>
      </c>
      <c r="E10" s="18" t="n">
        <v>1</v>
      </c>
      <c r="F10" s="64" t="n">
        <f aca="false">D10+E10</f>
        <v>7</v>
      </c>
      <c r="G10" s="65" t="n">
        <v>55</v>
      </c>
      <c r="H10" s="65" t="n">
        <v>7</v>
      </c>
      <c r="I10" s="66" t="n">
        <f aca="false">F10*5</f>
        <v>35</v>
      </c>
    </row>
    <row r="11" customFormat="false" ht="21.75" hidden="false" customHeight="true" outlineLevel="0" collapsed="false">
      <c r="A11" s="10" t="s">
        <v>51</v>
      </c>
      <c r="B11" s="11" t="s">
        <v>52</v>
      </c>
      <c r="C11" s="13" t="s">
        <v>33</v>
      </c>
      <c r="D11" s="21" t="n">
        <v>1.5</v>
      </c>
      <c r="E11" s="21" t="n">
        <v>0.5</v>
      </c>
      <c r="F11" s="67" t="n">
        <f aca="false">D11+E11</f>
        <v>2</v>
      </c>
      <c r="G11" s="68" t="n">
        <v>50</v>
      </c>
      <c r="H11" s="68" t="n">
        <v>1</v>
      </c>
      <c r="I11" s="69" t="n">
        <f aca="false">F11*5</f>
        <v>10</v>
      </c>
    </row>
    <row r="12" customFormat="false" ht="21.75" hidden="false" customHeight="true" outlineLevel="0" collapsed="false">
      <c r="A12" s="15" t="s">
        <v>55</v>
      </c>
      <c r="B12" s="16" t="s">
        <v>56</v>
      </c>
      <c r="C12" s="17" t="s">
        <v>13</v>
      </c>
      <c r="D12" s="18" t="n">
        <v>4</v>
      </c>
      <c r="E12" s="18" t="n">
        <v>0.5</v>
      </c>
      <c r="F12" s="64" t="n">
        <f aca="false">D12+E12</f>
        <v>4.5</v>
      </c>
      <c r="G12" s="65" t="n">
        <v>55</v>
      </c>
      <c r="H12" s="65" t="n">
        <v>11</v>
      </c>
      <c r="I12" s="66" t="n">
        <f aca="false">F12*5</f>
        <v>22.5</v>
      </c>
    </row>
    <row r="13" customFormat="false" ht="21.75" hidden="false" customHeight="true" outlineLevel="0" collapsed="false">
      <c r="A13" s="10" t="s">
        <v>59</v>
      </c>
      <c r="B13" s="11" t="s">
        <v>60</v>
      </c>
      <c r="C13" s="13" t="s">
        <v>20</v>
      </c>
      <c r="D13" s="21" t="n">
        <v>0.8</v>
      </c>
      <c r="E13" s="21" t="n">
        <v>0.2</v>
      </c>
      <c r="F13" s="67" t="n">
        <f aca="false">D13+E13</f>
        <v>1</v>
      </c>
      <c r="G13" s="68" t="n">
        <v>30</v>
      </c>
      <c r="H13" s="68" t="n">
        <v>3</v>
      </c>
      <c r="I13" s="69" t="n">
        <f aca="false">F13*5</f>
        <v>5</v>
      </c>
    </row>
    <row r="14" customFormat="false" ht="21.75" hidden="false" customHeight="true" outlineLevel="0" collapsed="false">
      <c r="A14" s="15" t="s">
        <v>65</v>
      </c>
      <c r="B14" s="16" t="s">
        <v>66</v>
      </c>
      <c r="C14" s="17" t="s">
        <v>13</v>
      </c>
      <c r="D14" s="18" t="n">
        <v>4.5</v>
      </c>
      <c r="E14" s="18" t="n">
        <v>1</v>
      </c>
      <c r="F14" s="64" t="n">
        <f aca="false">D14+E14</f>
        <v>5.5</v>
      </c>
      <c r="G14" s="65" t="n">
        <v>55</v>
      </c>
      <c r="H14" s="65" t="n">
        <v>27</v>
      </c>
      <c r="I14" s="66" t="n">
        <f aca="false">F14*5</f>
        <v>27.5</v>
      </c>
    </row>
    <row r="15" customFormat="false" ht="21.75" hidden="false" customHeight="true" outlineLevel="0" collapsed="false">
      <c r="A15" s="10" t="s">
        <v>70</v>
      </c>
      <c r="B15" s="11" t="s">
        <v>71</v>
      </c>
      <c r="C15" s="13" t="s">
        <v>27</v>
      </c>
      <c r="D15" s="21" t="n">
        <v>3.5</v>
      </c>
      <c r="E15" s="21" t="n">
        <v>0.8</v>
      </c>
      <c r="F15" s="67" t="n">
        <f aca="false">D15+E15</f>
        <v>4.3</v>
      </c>
      <c r="G15" s="68" t="n">
        <v>50</v>
      </c>
      <c r="H15" s="68" t="n">
        <v>14</v>
      </c>
      <c r="I15" s="69" t="n">
        <f aca="false">F15*5</f>
        <v>21.5</v>
      </c>
    </row>
    <row r="16" customFormat="false" ht="21.75" hidden="false" customHeight="true" outlineLevel="0" collapsed="false">
      <c r="A16" s="15" t="s">
        <v>74</v>
      </c>
      <c r="B16" s="16" t="s">
        <v>75</v>
      </c>
      <c r="C16" s="17" t="s">
        <v>33</v>
      </c>
      <c r="D16" s="18" t="n">
        <v>2</v>
      </c>
      <c r="E16" s="18" t="n">
        <v>0.5</v>
      </c>
      <c r="F16" s="64" t="n">
        <f aca="false">D16+E16</f>
        <v>2.5</v>
      </c>
      <c r="G16" s="65" t="n">
        <v>50</v>
      </c>
      <c r="H16" s="65" t="n">
        <v>1</v>
      </c>
      <c r="I16" s="66" t="n">
        <f aca="false">F16*5</f>
        <v>12.5</v>
      </c>
    </row>
    <row r="17" customFormat="false" ht="21.75" hidden="false" customHeight="true" outlineLevel="0" collapsed="false">
      <c r="A17" s="10" t="s">
        <v>78</v>
      </c>
      <c r="B17" s="11" t="s">
        <v>79</v>
      </c>
      <c r="C17" s="13" t="s">
        <v>13</v>
      </c>
      <c r="D17" s="21" t="n">
        <v>5</v>
      </c>
      <c r="E17" s="21" t="n">
        <v>0.8</v>
      </c>
      <c r="F17" s="67" t="n">
        <f aca="false">D17+E17</f>
        <v>5.8</v>
      </c>
      <c r="G17" s="68" t="n">
        <v>55</v>
      </c>
      <c r="H17" s="68" t="n">
        <v>22</v>
      </c>
      <c r="I17" s="69" t="n">
        <f aca="false">F17*5</f>
        <v>29</v>
      </c>
    </row>
    <row r="18" customFormat="false" ht="21.75" hidden="false" customHeight="true" outlineLevel="0" collapsed="false">
      <c r="A18" s="15" t="s">
        <v>82</v>
      </c>
      <c r="B18" s="16" t="s">
        <v>83</v>
      </c>
      <c r="C18" s="17" t="s">
        <v>33</v>
      </c>
      <c r="D18" s="18" t="n">
        <v>7</v>
      </c>
      <c r="E18" s="18" t="n">
        <v>1</v>
      </c>
      <c r="F18" s="64" t="n">
        <f aca="false">D18+E18</f>
        <v>8</v>
      </c>
      <c r="G18" s="65" t="n">
        <v>50</v>
      </c>
      <c r="H18" s="65" t="n">
        <v>4</v>
      </c>
      <c r="I18" s="66" t="n">
        <f aca="false">F18*5</f>
        <v>40</v>
      </c>
    </row>
    <row r="19" customFormat="false" ht="21.75" hidden="false" customHeight="true" outlineLevel="0" collapsed="false">
      <c r="A19" s="10" t="s">
        <v>86</v>
      </c>
      <c r="B19" s="11" t="s">
        <v>87</v>
      </c>
      <c r="C19" s="13" t="s">
        <v>27</v>
      </c>
      <c r="D19" s="21" t="n">
        <v>7</v>
      </c>
      <c r="E19" s="21" t="n">
        <v>1.5</v>
      </c>
      <c r="F19" s="67" t="n">
        <f aca="false">D19+E19</f>
        <v>8.5</v>
      </c>
      <c r="G19" s="68" t="n">
        <v>45</v>
      </c>
      <c r="H19" s="68" t="n">
        <v>2</v>
      </c>
      <c r="I19" s="69" t="n">
        <f aca="false">F19*5</f>
        <v>42.5</v>
      </c>
    </row>
    <row r="20" customFormat="false" ht="21.75" hidden="false" customHeight="true" outlineLevel="0" collapsed="false">
      <c r="A20" s="15" t="s">
        <v>92</v>
      </c>
      <c r="B20" s="16" t="s">
        <v>93</v>
      </c>
      <c r="C20" s="17" t="s">
        <v>13</v>
      </c>
      <c r="D20" s="18" t="n">
        <v>9.5</v>
      </c>
      <c r="E20" s="18" t="n">
        <v>2</v>
      </c>
      <c r="F20" s="64" t="n">
        <f aca="false">D20+E20</f>
        <v>11.5</v>
      </c>
      <c r="G20" s="65" t="n">
        <v>55</v>
      </c>
      <c r="H20" s="65" t="n">
        <v>8</v>
      </c>
      <c r="I20" s="66" t="n">
        <f aca="false">F20*5</f>
        <v>57.5</v>
      </c>
    </row>
    <row r="21" customFormat="false" ht="21.75" hidden="false" customHeight="true" outlineLevel="0" collapsed="false">
      <c r="A21" s="10" t="s">
        <v>97</v>
      </c>
      <c r="B21" s="11" t="s">
        <v>98</v>
      </c>
      <c r="C21" s="13" t="s">
        <v>27</v>
      </c>
      <c r="D21" s="21" t="n">
        <v>8</v>
      </c>
      <c r="E21" s="21" t="n">
        <v>2</v>
      </c>
      <c r="F21" s="67" t="n">
        <f aca="false">D21+E21</f>
        <v>10</v>
      </c>
      <c r="G21" s="68" t="n">
        <v>50</v>
      </c>
      <c r="H21" s="68" t="n">
        <v>9</v>
      </c>
      <c r="I21" s="69" t="n">
        <f aca="false">F21*5</f>
        <v>50</v>
      </c>
    </row>
    <row r="22" customFormat="false" ht="21.75" hidden="false" customHeight="true" outlineLevel="0" collapsed="false">
      <c r="A22" s="15" t="s">
        <v>102</v>
      </c>
      <c r="B22" s="16" t="s">
        <v>103</v>
      </c>
      <c r="C22" s="17" t="s">
        <v>33</v>
      </c>
      <c r="D22" s="18" t="n">
        <v>12</v>
      </c>
      <c r="E22" s="18" t="n">
        <v>3</v>
      </c>
      <c r="F22" s="64" t="n">
        <f aca="false">D22+E22</f>
        <v>15</v>
      </c>
      <c r="G22" s="65" t="n">
        <v>45</v>
      </c>
      <c r="H22" s="65" t="n">
        <v>22</v>
      </c>
      <c r="I22" s="66" t="n">
        <f aca="false">F22*5</f>
        <v>75</v>
      </c>
    </row>
    <row r="23" customFormat="false" ht="21.75" hidden="false" customHeight="true" outlineLevel="0" collapsed="false">
      <c r="A23" s="10" t="s">
        <v>106</v>
      </c>
      <c r="B23" s="11" t="s">
        <v>268</v>
      </c>
      <c r="C23" s="13" t="s">
        <v>13</v>
      </c>
      <c r="D23" s="21" t="n">
        <v>5.5</v>
      </c>
      <c r="E23" s="21" t="n">
        <v>1</v>
      </c>
      <c r="F23" s="67" t="n">
        <f aca="false">D23+E23</f>
        <v>6.5</v>
      </c>
      <c r="G23" s="68" t="n">
        <v>55</v>
      </c>
      <c r="H23" s="68" t="n">
        <v>3</v>
      </c>
      <c r="I23" s="69" t="n">
        <f aca="false">F23*5</f>
        <v>32.5</v>
      </c>
    </row>
    <row r="24" customFormat="false" ht="21.75" hidden="false" customHeight="true" outlineLevel="0" collapsed="false">
      <c r="A24" s="15" t="s">
        <v>111</v>
      </c>
      <c r="B24" s="16" t="s">
        <v>112</v>
      </c>
      <c r="C24" s="17" t="s">
        <v>33</v>
      </c>
      <c r="D24" s="18" t="n">
        <v>2</v>
      </c>
      <c r="E24" s="18" t="n">
        <v>0.5</v>
      </c>
      <c r="F24" s="64" t="n">
        <f aca="false">D24+E24</f>
        <v>2.5</v>
      </c>
      <c r="G24" s="65" t="n">
        <v>50</v>
      </c>
      <c r="H24" s="65" t="n">
        <v>1</v>
      </c>
      <c r="I24" s="66" t="n">
        <f aca="false">F24*5</f>
        <v>12.5</v>
      </c>
    </row>
    <row r="25" customFormat="false" ht="21.75" hidden="false" customHeight="true" outlineLevel="0" collapsed="false">
      <c r="A25" s="10" t="s">
        <v>117</v>
      </c>
      <c r="B25" s="11" t="s">
        <v>118</v>
      </c>
      <c r="C25" s="13" t="s">
        <v>33</v>
      </c>
      <c r="D25" s="21" t="n">
        <v>4.5</v>
      </c>
      <c r="E25" s="21" t="n">
        <v>1</v>
      </c>
      <c r="F25" s="67" t="n">
        <f aca="false">D25+E25</f>
        <v>5.5</v>
      </c>
      <c r="G25" s="68" t="n">
        <v>50</v>
      </c>
      <c r="H25" s="68" t="n">
        <v>3</v>
      </c>
      <c r="I25" s="69" t="n">
        <f aca="false">F25*5</f>
        <v>27.5</v>
      </c>
    </row>
    <row r="26" customFormat="false" ht="21.75" hidden="false" customHeight="true" outlineLevel="0" collapsed="false">
      <c r="A26" s="15" t="s">
        <v>122</v>
      </c>
      <c r="B26" s="16" t="s">
        <v>123</v>
      </c>
      <c r="C26" s="17" t="s">
        <v>20</v>
      </c>
      <c r="D26" s="18" t="n">
        <v>1</v>
      </c>
      <c r="E26" s="18" t="n">
        <v>0.3</v>
      </c>
      <c r="F26" s="64" t="n">
        <f aca="false">D26+E26</f>
        <v>1.3</v>
      </c>
      <c r="G26" s="65" t="n">
        <v>30</v>
      </c>
      <c r="H26" s="65" t="n">
        <v>1</v>
      </c>
      <c r="I26" s="66" t="n">
        <f aca="false">F26*5</f>
        <v>6.5</v>
      </c>
    </row>
    <row r="27" customFormat="false" ht="21.75" hidden="false" customHeight="true" outlineLevel="0" collapsed="false">
      <c r="A27" s="10" t="s">
        <v>126</v>
      </c>
      <c r="B27" s="11" t="s">
        <v>127</v>
      </c>
      <c r="C27" s="13" t="s">
        <v>13</v>
      </c>
      <c r="D27" s="21" t="n">
        <v>6</v>
      </c>
      <c r="E27" s="21" t="n">
        <v>1.5</v>
      </c>
      <c r="F27" s="67" t="n">
        <f aca="false">D27+E27</f>
        <v>7.5</v>
      </c>
      <c r="G27" s="68" t="n">
        <v>55</v>
      </c>
      <c r="H27" s="68" t="n">
        <v>2</v>
      </c>
      <c r="I27" s="69" t="n">
        <f aca="false">F27*5</f>
        <v>37.5</v>
      </c>
    </row>
    <row r="28" customFormat="false" ht="21.75" hidden="false" customHeight="true" outlineLevel="0" collapsed="false">
      <c r="A28" s="15" t="s">
        <v>131</v>
      </c>
      <c r="B28" s="16" t="s">
        <v>132</v>
      </c>
      <c r="C28" s="17" t="s">
        <v>20</v>
      </c>
      <c r="D28" s="18" t="n">
        <v>0.8</v>
      </c>
      <c r="E28" s="18" t="n">
        <v>0.2</v>
      </c>
      <c r="F28" s="64" t="n">
        <f aca="false">D28+E28</f>
        <v>1</v>
      </c>
      <c r="G28" s="65" t="n">
        <v>30</v>
      </c>
      <c r="H28" s="65" t="n">
        <v>1</v>
      </c>
      <c r="I28" s="66" t="n">
        <f aca="false">F28*5</f>
        <v>5</v>
      </c>
    </row>
    <row r="29" customFormat="false" ht="15" hidden="false" customHeight="true" outlineLevel="0" collapsed="false">
      <c r="B29" s="70" t="s">
        <v>282</v>
      </c>
      <c r="D29" s="71" t="n">
        <f aca="false">AVERAGE(D4:D28)</f>
        <v>4.924</v>
      </c>
      <c r="E29" s="71" t="n">
        <f aca="false">AVERAGE(E4:E28)</f>
        <v>1.052</v>
      </c>
      <c r="F29" s="71" t="n">
        <f aca="false">AVERAGE(F4:F28)</f>
        <v>5.976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7" min="4" style="1" width="22"/>
    <col collapsed="false" customWidth="true" hidden="false" outlineLevel="0" max="8" min="8" style="1" width="12"/>
    <col collapsed="false" customWidth="true" hidden="false" outlineLevel="0" max="9" min="9" style="1" width="55"/>
  </cols>
  <sheetData>
    <row r="1" customFormat="false" ht="31.5" hidden="false" customHeight="true" outlineLevel="0" collapsed="false">
      <c r="A1" s="2" t="s">
        <v>283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284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285</v>
      </c>
      <c r="B3" s="4" t="s">
        <v>286</v>
      </c>
      <c r="C3" s="4" t="s">
        <v>287</v>
      </c>
      <c r="D3" s="4" t="s">
        <v>288</v>
      </c>
      <c r="E3" s="4" t="s">
        <v>289</v>
      </c>
      <c r="F3" s="4" t="s">
        <v>290</v>
      </c>
      <c r="G3" s="4" t="s">
        <v>291</v>
      </c>
      <c r="H3" s="4" t="s">
        <v>292</v>
      </c>
      <c r="I3" s="4" t="s">
        <v>293</v>
      </c>
    </row>
    <row r="4" customFormat="false" ht="48" hidden="false" customHeight="true" outlineLevel="0" collapsed="false">
      <c r="A4" s="15" t="s">
        <v>294</v>
      </c>
      <c r="B4" s="19" t="s">
        <v>206</v>
      </c>
      <c r="C4" s="16" t="s">
        <v>11</v>
      </c>
      <c r="D4" s="72" t="n">
        <v>5</v>
      </c>
      <c r="E4" s="72" t="n">
        <v>5</v>
      </c>
      <c r="F4" s="72" t="n">
        <v>5</v>
      </c>
      <c r="G4" s="73" t="n">
        <v>4</v>
      </c>
      <c r="H4" s="74" t="n">
        <f aca="false">AVERAGE(D4:G4)</f>
        <v>4.75</v>
      </c>
      <c r="I4" s="19" t="s">
        <v>295</v>
      </c>
    </row>
    <row r="5" customFormat="false" ht="48" hidden="false" customHeight="true" outlineLevel="0" collapsed="false">
      <c r="A5" s="10" t="s">
        <v>296</v>
      </c>
      <c r="B5" s="12" t="s">
        <v>212</v>
      </c>
      <c r="C5" s="11" t="s">
        <v>31</v>
      </c>
      <c r="D5" s="72" t="n">
        <v>5</v>
      </c>
      <c r="E5" s="73" t="n">
        <v>4</v>
      </c>
      <c r="F5" s="72" t="n">
        <v>5</v>
      </c>
      <c r="G5" s="72" t="n">
        <v>5</v>
      </c>
      <c r="H5" s="75" t="n">
        <f aca="false">AVERAGE(D5:G5)</f>
        <v>4.75</v>
      </c>
      <c r="I5" s="12" t="s">
        <v>297</v>
      </c>
    </row>
    <row r="6" customFormat="false" ht="48" hidden="false" customHeight="true" outlineLevel="0" collapsed="false">
      <c r="A6" s="15" t="s">
        <v>298</v>
      </c>
      <c r="B6" s="19" t="s">
        <v>216</v>
      </c>
      <c r="C6" s="16" t="s">
        <v>18</v>
      </c>
      <c r="D6" s="73" t="n">
        <v>4</v>
      </c>
      <c r="E6" s="73" t="n">
        <v>4</v>
      </c>
      <c r="F6" s="72" t="n">
        <v>5</v>
      </c>
      <c r="G6" s="72" t="n">
        <v>5</v>
      </c>
      <c r="H6" s="74" t="n">
        <f aca="false">AVERAGE(D6:G6)</f>
        <v>4.5</v>
      </c>
      <c r="I6" s="19" t="s">
        <v>299</v>
      </c>
    </row>
    <row r="7" customFormat="false" ht="48" hidden="false" customHeight="true" outlineLevel="0" collapsed="false">
      <c r="A7" s="10" t="s">
        <v>300</v>
      </c>
      <c r="B7" s="12" t="s">
        <v>221</v>
      </c>
      <c r="C7" s="11" t="s">
        <v>41</v>
      </c>
      <c r="D7" s="72" t="n">
        <v>5</v>
      </c>
      <c r="E7" s="72" t="n">
        <v>5</v>
      </c>
      <c r="F7" s="72" t="n">
        <v>5</v>
      </c>
      <c r="G7" s="73" t="n">
        <v>4</v>
      </c>
      <c r="H7" s="75" t="n">
        <f aca="false">AVERAGE(D7:G7)</f>
        <v>4.75</v>
      </c>
      <c r="I7" s="12" t="s">
        <v>301</v>
      </c>
    </row>
    <row r="8" customFormat="false" ht="48" hidden="false" customHeight="true" outlineLevel="0" collapsed="false">
      <c r="A8" s="15" t="s">
        <v>302</v>
      </c>
      <c r="B8" s="19" t="s">
        <v>226</v>
      </c>
      <c r="C8" s="16" t="s">
        <v>56</v>
      </c>
      <c r="D8" s="73" t="n">
        <v>4</v>
      </c>
      <c r="E8" s="72" t="n">
        <v>5</v>
      </c>
      <c r="F8" s="72" t="n">
        <v>5</v>
      </c>
      <c r="G8" s="72" t="n">
        <v>5</v>
      </c>
      <c r="H8" s="74" t="n">
        <f aca="false">AVERAGE(D8:G8)</f>
        <v>4.75</v>
      </c>
      <c r="I8" s="19" t="s">
        <v>303</v>
      </c>
    </row>
    <row r="9" customFormat="false" ht="48" hidden="false" customHeight="true" outlineLevel="0" collapsed="false">
      <c r="A9" s="10" t="s">
        <v>304</v>
      </c>
      <c r="B9" s="12" t="s">
        <v>230</v>
      </c>
      <c r="C9" s="11" t="s">
        <v>25</v>
      </c>
      <c r="D9" s="72" t="n">
        <v>5</v>
      </c>
      <c r="E9" s="72" t="n">
        <v>5</v>
      </c>
      <c r="F9" s="73" t="n">
        <v>4</v>
      </c>
      <c r="G9" s="76" t="n">
        <v>3</v>
      </c>
      <c r="H9" s="75" t="n">
        <f aca="false">AVERAGE(D9:G9)</f>
        <v>4.25</v>
      </c>
      <c r="I9" s="12" t="s">
        <v>305</v>
      </c>
    </row>
    <row r="10" customFormat="false" ht="48" hidden="false" customHeight="true" outlineLevel="0" collapsed="false">
      <c r="A10" s="15" t="s">
        <v>306</v>
      </c>
      <c r="B10" s="19" t="s">
        <v>234</v>
      </c>
      <c r="C10" s="16" t="s">
        <v>60</v>
      </c>
      <c r="D10" s="72" t="n">
        <v>5</v>
      </c>
      <c r="E10" s="73" t="n">
        <v>4</v>
      </c>
      <c r="F10" s="72" t="n">
        <v>5</v>
      </c>
      <c r="G10" s="72" t="n">
        <v>5</v>
      </c>
      <c r="H10" s="74" t="n">
        <f aca="false">AVERAGE(D10:G10)</f>
        <v>4.75</v>
      </c>
      <c r="I10" s="19" t="s">
        <v>307</v>
      </c>
    </row>
    <row r="11" customFormat="false" ht="48" hidden="false" customHeight="true" outlineLevel="0" collapsed="false">
      <c r="A11" s="10" t="s">
        <v>308</v>
      </c>
      <c r="B11" s="12" t="s">
        <v>206</v>
      </c>
      <c r="C11" s="11" t="s">
        <v>36</v>
      </c>
      <c r="D11" s="73" t="n">
        <v>4</v>
      </c>
      <c r="E11" s="73" t="n">
        <v>4</v>
      </c>
      <c r="F11" s="72" t="n">
        <v>5</v>
      </c>
      <c r="G11" s="73" t="n">
        <v>4</v>
      </c>
      <c r="H11" s="75" t="n">
        <f aca="false">AVERAGE(D11:G11)</f>
        <v>4.25</v>
      </c>
      <c r="I11" s="12" t="s">
        <v>309</v>
      </c>
    </row>
    <row r="12" customFormat="false" ht="48" hidden="false" customHeight="true" outlineLevel="0" collapsed="false">
      <c r="A12" s="15" t="s">
        <v>310</v>
      </c>
      <c r="B12" s="19" t="s">
        <v>212</v>
      </c>
      <c r="C12" s="16" t="s">
        <v>52</v>
      </c>
      <c r="D12" s="72" t="n">
        <v>5</v>
      </c>
      <c r="E12" s="72" t="n">
        <v>5</v>
      </c>
      <c r="F12" s="72" t="n">
        <v>5</v>
      </c>
      <c r="G12" s="72" t="n">
        <v>5</v>
      </c>
      <c r="H12" s="74" t="n">
        <f aca="false">AVERAGE(D12:G12)</f>
        <v>5</v>
      </c>
      <c r="I12" s="19" t="s">
        <v>311</v>
      </c>
    </row>
    <row r="13" customFormat="false" ht="48" hidden="false" customHeight="true" outlineLevel="0" collapsed="false">
      <c r="A13" s="10" t="s">
        <v>312</v>
      </c>
      <c r="B13" s="12" t="s">
        <v>216</v>
      </c>
      <c r="C13" s="11" t="s">
        <v>47</v>
      </c>
      <c r="D13" s="73" t="n">
        <v>4</v>
      </c>
      <c r="E13" s="76" t="n">
        <v>3</v>
      </c>
      <c r="F13" s="73" t="n">
        <v>4</v>
      </c>
      <c r="G13" s="73" t="n">
        <v>4</v>
      </c>
      <c r="H13" s="75" t="n">
        <f aca="false">AVERAGE(D13:G13)</f>
        <v>3.75</v>
      </c>
      <c r="I13" s="12" t="s">
        <v>313</v>
      </c>
    </row>
    <row r="14" customFormat="false" ht="48" hidden="false" customHeight="true" outlineLevel="0" collapsed="false">
      <c r="A14" s="15" t="s">
        <v>314</v>
      </c>
      <c r="B14" s="19" t="s">
        <v>255</v>
      </c>
      <c r="C14" s="16" t="s">
        <v>87</v>
      </c>
      <c r="D14" s="72" t="n">
        <v>5</v>
      </c>
      <c r="E14" s="72" t="n">
        <v>5</v>
      </c>
      <c r="F14" s="72" t="n">
        <v>5</v>
      </c>
      <c r="G14" s="73" t="n">
        <v>4</v>
      </c>
      <c r="H14" s="74" t="n">
        <f aca="false">AVERAGE(D14:G14)</f>
        <v>4.75</v>
      </c>
      <c r="I14" s="19" t="s">
        <v>315</v>
      </c>
    </row>
    <row r="15" customFormat="false" ht="48" hidden="false" customHeight="true" outlineLevel="0" collapsed="false">
      <c r="A15" s="10" t="s">
        <v>316</v>
      </c>
      <c r="B15" s="12" t="s">
        <v>258</v>
      </c>
      <c r="C15" s="11" t="s">
        <v>93</v>
      </c>
      <c r="D15" s="73" t="n">
        <v>4</v>
      </c>
      <c r="E15" s="72" t="n">
        <v>5</v>
      </c>
      <c r="F15" s="72" t="n">
        <v>5</v>
      </c>
      <c r="G15" s="72" t="n">
        <v>5</v>
      </c>
      <c r="H15" s="75" t="n">
        <f aca="false">AVERAGE(D15:G15)</f>
        <v>4.75</v>
      </c>
      <c r="I15" s="12" t="s">
        <v>317</v>
      </c>
    </row>
    <row r="16" customFormat="false" ht="48" hidden="false" customHeight="true" outlineLevel="0" collapsed="false">
      <c r="A16" s="15" t="s">
        <v>318</v>
      </c>
      <c r="B16" s="19" t="s">
        <v>319</v>
      </c>
      <c r="C16" s="16" t="s">
        <v>98</v>
      </c>
      <c r="D16" s="72" t="n">
        <v>5</v>
      </c>
      <c r="E16" s="73" t="n">
        <v>4</v>
      </c>
      <c r="F16" s="72" t="n">
        <v>5</v>
      </c>
      <c r="G16" s="73" t="n">
        <v>4</v>
      </c>
      <c r="H16" s="74" t="n">
        <f aca="false">AVERAGE(D16:G16)</f>
        <v>4.5</v>
      </c>
      <c r="I16" s="19" t="s">
        <v>320</v>
      </c>
    </row>
    <row r="17" customFormat="false" ht="48" hidden="false" customHeight="true" outlineLevel="0" collapsed="false">
      <c r="A17" s="10" t="s">
        <v>321</v>
      </c>
      <c r="B17" s="12" t="s">
        <v>221</v>
      </c>
      <c r="C17" s="11" t="s">
        <v>123</v>
      </c>
      <c r="D17" s="72" t="n">
        <v>5</v>
      </c>
      <c r="E17" s="72" t="n">
        <v>5</v>
      </c>
      <c r="F17" s="72" t="n">
        <v>5</v>
      </c>
      <c r="G17" s="72" t="n">
        <v>5</v>
      </c>
      <c r="H17" s="75" t="n">
        <f aca="false">AVERAGE(D17:G17)</f>
        <v>5</v>
      </c>
      <c r="I17" s="12" t="s">
        <v>322</v>
      </c>
    </row>
    <row r="18" customFormat="false" ht="48" hidden="false" customHeight="true" outlineLevel="0" collapsed="false">
      <c r="A18" s="15" t="s">
        <v>323</v>
      </c>
      <c r="B18" s="19" t="s">
        <v>262</v>
      </c>
      <c r="C18" s="16" t="s">
        <v>118</v>
      </c>
      <c r="D18" s="73" t="n">
        <v>4</v>
      </c>
      <c r="E18" s="73" t="n">
        <v>4</v>
      </c>
      <c r="F18" s="72" t="n">
        <v>5</v>
      </c>
      <c r="G18" s="73" t="n">
        <v>4</v>
      </c>
      <c r="H18" s="74" t="n">
        <f aca="false">AVERAGE(D18:G18)</f>
        <v>4.25</v>
      </c>
      <c r="I18" s="19" t="s">
        <v>324</v>
      </c>
    </row>
    <row r="19" customFormat="false" ht="48" hidden="false" customHeight="true" outlineLevel="0" collapsed="false">
      <c r="A19" s="10" t="s">
        <v>325</v>
      </c>
      <c r="B19" s="12" t="s">
        <v>264</v>
      </c>
      <c r="C19" s="11" t="s">
        <v>127</v>
      </c>
      <c r="D19" s="72" t="n">
        <v>5</v>
      </c>
      <c r="E19" s="72" t="n">
        <v>5</v>
      </c>
      <c r="F19" s="73" t="n">
        <v>4</v>
      </c>
      <c r="G19" s="73" t="n">
        <v>4</v>
      </c>
      <c r="H19" s="75" t="n">
        <f aca="false">AVERAGE(D19:G19)</f>
        <v>4.5</v>
      </c>
      <c r="I19" s="12" t="s">
        <v>326</v>
      </c>
    </row>
    <row r="20" customFormat="false" ht="48" hidden="false" customHeight="true" outlineLevel="0" collapsed="false">
      <c r="A20" s="15" t="s">
        <v>327</v>
      </c>
      <c r="B20" s="19" t="s">
        <v>212</v>
      </c>
      <c r="C20" s="16" t="s">
        <v>132</v>
      </c>
      <c r="D20" s="72" t="n">
        <v>5</v>
      </c>
      <c r="E20" s="72" t="n">
        <v>5</v>
      </c>
      <c r="F20" s="72" t="n">
        <v>5</v>
      </c>
      <c r="G20" s="72" t="n">
        <v>5</v>
      </c>
      <c r="H20" s="74" t="n">
        <f aca="false">AVERAGE(D20:G20)</f>
        <v>5</v>
      </c>
      <c r="I20" s="19" t="s">
        <v>328</v>
      </c>
    </row>
    <row r="21" customFormat="false" ht="48" hidden="false" customHeight="true" outlineLevel="0" collapsed="false">
      <c r="A21" s="10" t="s">
        <v>329</v>
      </c>
      <c r="B21" s="12" t="s">
        <v>267</v>
      </c>
      <c r="C21" s="11" t="s">
        <v>268</v>
      </c>
      <c r="D21" s="73" t="n">
        <v>4</v>
      </c>
      <c r="E21" s="73" t="n">
        <v>4</v>
      </c>
      <c r="F21" s="72" t="n">
        <v>5</v>
      </c>
      <c r="G21" s="72" t="n">
        <v>5</v>
      </c>
      <c r="H21" s="75" t="n">
        <f aca="false">AVERAGE(D21:G21)</f>
        <v>4.5</v>
      </c>
      <c r="I21" s="12" t="s">
        <v>330</v>
      </c>
    </row>
    <row r="22" customFormat="false" ht="48" hidden="false" customHeight="true" outlineLevel="0" collapsed="false">
      <c r="A22" s="15" t="s">
        <v>331</v>
      </c>
      <c r="B22" s="19" t="s">
        <v>206</v>
      </c>
      <c r="C22" s="16" t="s">
        <v>103</v>
      </c>
      <c r="D22" s="72" t="n">
        <v>5</v>
      </c>
      <c r="E22" s="72" t="n">
        <v>5</v>
      </c>
      <c r="F22" s="72" t="n">
        <v>5</v>
      </c>
      <c r="G22" s="76" t="n">
        <v>3</v>
      </c>
      <c r="H22" s="74" t="n">
        <f aca="false">AVERAGE(D22:G22)</f>
        <v>4.5</v>
      </c>
      <c r="I22" s="19" t="s">
        <v>332</v>
      </c>
    </row>
    <row r="23" customFormat="false" ht="48" hidden="false" customHeight="true" outlineLevel="0" collapsed="false">
      <c r="A23" s="10" t="s">
        <v>333</v>
      </c>
      <c r="B23" s="12" t="s">
        <v>271</v>
      </c>
      <c r="C23" s="11" t="s">
        <v>112</v>
      </c>
      <c r="D23" s="72" t="n">
        <v>5</v>
      </c>
      <c r="E23" s="73" t="n">
        <v>4</v>
      </c>
      <c r="F23" s="72" t="n">
        <v>5</v>
      </c>
      <c r="G23" s="72" t="n">
        <v>5</v>
      </c>
      <c r="H23" s="75" t="n">
        <f aca="false">AVERAGE(D23:G23)</f>
        <v>4.75</v>
      </c>
      <c r="I23" s="12" t="s">
        <v>334</v>
      </c>
    </row>
    <row r="24" customFormat="false" ht="15" hidden="false" customHeight="true" outlineLevel="0" collapsed="false">
      <c r="B24" s="23" t="s">
        <v>335</v>
      </c>
      <c r="D24" s="77" t="n">
        <f aca="false">AVERAGE(D4:D23)</f>
        <v>4.65</v>
      </c>
      <c r="E24" s="77" t="n">
        <f aca="false">AVERAGE(E4:E23)</f>
        <v>4.5</v>
      </c>
      <c r="F24" s="77" t="n">
        <f aca="false">AVERAGE(F4:F23)</f>
        <v>4.85</v>
      </c>
      <c r="G24" s="77" t="n">
        <f aca="false">AVERAGE(G4:G23)</f>
        <v>4.4</v>
      </c>
      <c r="H24" s="77" t="n">
        <f aca="false">AVERAGE(H4:H23)</f>
        <v>4.6</v>
      </c>
    </row>
    <row r="26" customFormat="false" ht="15" hidden="false" customHeight="true" outlineLevel="0" collapsed="false">
      <c r="A26" s="78" t="s">
        <v>336</v>
      </c>
    </row>
    <row r="27" customFormat="false" ht="15" hidden="false" customHeight="true" outlineLevel="0" collapsed="false">
      <c r="A27" s="79" t="s">
        <v>337</v>
      </c>
    </row>
    <row r="28" customFormat="false" ht="15" hidden="false" customHeight="true" outlineLevel="0" collapsed="false">
      <c r="A28" s="80" t="s">
        <v>338</v>
      </c>
    </row>
    <row r="29" customFormat="false" ht="15" hidden="false" customHeight="true" outlineLevel="0" collapsed="false">
      <c r="A29" s="81" t="s">
        <v>339</v>
      </c>
    </row>
    <row r="30" customFormat="false" ht="15" hidden="false" customHeight="true" outlineLevel="0" collapsed="false">
      <c r="A30" s="82" t="s">
        <v>340</v>
      </c>
    </row>
    <row r="31" customFormat="false" ht="15" hidden="false" customHeight="true" outlineLevel="0" collapsed="false">
      <c r="A31" s="83" t="s">
        <v>341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32"/>
    <col collapsed="false" customWidth="true" hidden="false" outlineLevel="0" max="5" min="5" style="1" width="13"/>
    <col collapsed="false" customWidth="true" hidden="false" outlineLevel="0" max="7" min="6" style="1" width="20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0" min="10" style="1" width="56"/>
  </cols>
  <sheetData>
    <row r="1" customFormat="false" ht="31.5" hidden="false" customHeight="true" outlineLevel="0" collapsed="false">
      <c r="A1" s="2" t="s">
        <v>342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343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285</v>
      </c>
      <c r="B3" s="4" t="s">
        <v>344</v>
      </c>
      <c r="C3" s="4" t="s">
        <v>345</v>
      </c>
      <c r="D3" s="4" t="s">
        <v>346</v>
      </c>
      <c r="E3" s="4" t="s">
        <v>347</v>
      </c>
      <c r="F3" s="4" t="s">
        <v>348</v>
      </c>
      <c r="G3" s="4" t="s">
        <v>349</v>
      </c>
      <c r="H3" s="4" t="s">
        <v>350</v>
      </c>
      <c r="I3" s="4" t="s">
        <v>292</v>
      </c>
      <c r="J3" s="4" t="s">
        <v>351</v>
      </c>
    </row>
    <row r="4" customFormat="false" ht="48" hidden="false" customHeight="true" outlineLevel="0" collapsed="false">
      <c r="A4" s="5" t="s">
        <v>352</v>
      </c>
      <c r="B4" s="6" t="s">
        <v>353</v>
      </c>
      <c r="C4" s="50" t="s">
        <v>354</v>
      </c>
      <c r="D4" s="6" t="s">
        <v>11</v>
      </c>
      <c r="E4" s="8" t="s">
        <v>355</v>
      </c>
      <c r="F4" s="72" t="n">
        <v>5</v>
      </c>
      <c r="G4" s="72" t="n">
        <v>5</v>
      </c>
      <c r="H4" s="72" t="n">
        <v>5</v>
      </c>
      <c r="I4" s="84" t="n">
        <f aca="false">AVERAGE(F4:H4)</f>
        <v>5</v>
      </c>
      <c r="J4" s="7" t="s">
        <v>356</v>
      </c>
    </row>
    <row r="5" customFormat="false" ht="48" hidden="false" customHeight="true" outlineLevel="0" collapsed="false">
      <c r="A5" s="10" t="s">
        <v>357</v>
      </c>
      <c r="B5" s="11" t="s">
        <v>358</v>
      </c>
      <c r="C5" s="42" t="s">
        <v>359</v>
      </c>
      <c r="D5" s="11" t="s">
        <v>60</v>
      </c>
      <c r="E5" s="13" t="s">
        <v>360</v>
      </c>
      <c r="F5" s="72" t="n">
        <v>5</v>
      </c>
      <c r="G5" s="72" t="n">
        <v>5</v>
      </c>
      <c r="H5" s="72" t="n">
        <v>5</v>
      </c>
      <c r="I5" s="75" t="n">
        <f aca="false">AVERAGE(F5:H5)</f>
        <v>5</v>
      </c>
      <c r="J5" s="12" t="s">
        <v>361</v>
      </c>
    </row>
    <row r="6" customFormat="false" ht="48" hidden="false" customHeight="true" outlineLevel="0" collapsed="false">
      <c r="A6" s="5" t="s">
        <v>362</v>
      </c>
      <c r="B6" s="6" t="s">
        <v>363</v>
      </c>
      <c r="C6" s="50" t="s">
        <v>354</v>
      </c>
      <c r="D6" s="6" t="s">
        <v>56</v>
      </c>
      <c r="E6" s="8" t="s">
        <v>231</v>
      </c>
      <c r="F6" s="73" t="n">
        <v>4</v>
      </c>
      <c r="G6" s="72" t="n">
        <v>5</v>
      </c>
      <c r="H6" s="72" t="n">
        <v>5</v>
      </c>
      <c r="I6" s="84" t="n">
        <f aca="false">AVERAGE(F6:H6)</f>
        <v>4.66666666666667</v>
      </c>
      <c r="J6" s="7" t="s">
        <v>364</v>
      </c>
    </row>
    <row r="7" customFormat="false" ht="48" hidden="false" customHeight="true" outlineLevel="0" collapsed="false">
      <c r="A7" s="10" t="s">
        <v>365</v>
      </c>
      <c r="B7" s="11" t="s">
        <v>366</v>
      </c>
      <c r="C7" s="20" t="s">
        <v>367</v>
      </c>
      <c r="D7" s="11" t="s">
        <v>123</v>
      </c>
      <c r="E7" s="13" t="s">
        <v>368</v>
      </c>
      <c r="F7" s="72" t="n">
        <v>5</v>
      </c>
      <c r="G7" s="72" t="n">
        <v>5</v>
      </c>
      <c r="H7" s="72" t="n">
        <v>5</v>
      </c>
      <c r="I7" s="75" t="n">
        <f aca="false">AVERAGE(F7:H7)</f>
        <v>5</v>
      </c>
      <c r="J7" s="12" t="s">
        <v>369</v>
      </c>
    </row>
    <row r="8" customFormat="false" ht="48" hidden="false" customHeight="true" outlineLevel="0" collapsed="false">
      <c r="A8" s="5" t="s">
        <v>370</v>
      </c>
      <c r="B8" s="6" t="s">
        <v>371</v>
      </c>
      <c r="C8" s="50" t="s">
        <v>354</v>
      </c>
      <c r="D8" s="6" t="s">
        <v>93</v>
      </c>
      <c r="E8" s="8" t="s">
        <v>237</v>
      </c>
      <c r="F8" s="73" t="n">
        <v>4</v>
      </c>
      <c r="G8" s="73" t="n">
        <v>4</v>
      </c>
      <c r="H8" s="72" t="n">
        <v>5</v>
      </c>
      <c r="I8" s="84" t="n">
        <f aca="false">AVERAGE(F8:H8)</f>
        <v>4.33333333333333</v>
      </c>
      <c r="J8" s="7" t="s">
        <v>372</v>
      </c>
    </row>
    <row r="9" customFormat="false" ht="48" hidden="false" customHeight="true" outlineLevel="0" collapsed="false">
      <c r="A9" s="10" t="s">
        <v>373</v>
      </c>
      <c r="B9" s="11" t="s">
        <v>374</v>
      </c>
      <c r="C9" s="42" t="s">
        <v>359</v>
      </c>
      <c r="D9" s="11" t="s">
        <v>118</v>
      </c>
      <c r="E9" s="13" t="s">
        <v>240</v>
      </c>
      <c r="F9" s="72" t="n">
        <v>5</v>
      </c>
      <c r="G9" s="72" t="n">
        <v>5</v>
      </c>
      <c r="H9" s="73" t="n">
        <v>4</v>
      </c>
      <c r="I9" s="75" t="n">
        <f aca="false">AVERAGE(F9:H9)</f>
        <v>4.66666666666667</v>
      </c>
      <c r="J9" s="12" t="s">
        <v>375</v>
      </c>
    </row>
    <row r="10" customFormat="false" ht="48" hidden="false" customHeight="true" outlineLevel="0" collapsed="false">
      <c r="A10" s="5" t="s">
        <v>376</v>
      </c>
      <c r="B10" s="6" t="s">
        <v>377</v>
      </c>
      <c r="C10" s="50" t="s">
        <v>354</v>
      </c>
      <c r="D10" s="6" t="s">
        <v>98</v>
      </c>
      <c r="E10" s="8" t="s">
        <v>242</v>
      </c>
      <c r="F10" s="73" t="n">
        <v>4</v>
      </c>
      <c r="G10" s="72" t="n">
        <v>5</v>
      </c>
      <c r="H10" s="72" t="n">
        <v>5</v>
      </c>
      <c r="I10" s="84" t="n">
        <f aca="false">AVERAGE(F10:H10)</f>
        <v>4.66666666666667</v>
      </c>
      <c r="J10" s="7" t="s">
        <v>378</v>
      </c>
    </row>
    <row r="11" customFormat="false" ht="48" hidden="false" customHeight="true" outlineLevel="0" collapsed="false">
      <c r="A11" s="10" t="s">
        <v>379</v>
      </c>
      <c r="B11" s="11" t="s">
        <v>380</v>
      </c>
      <c r="C11" s="20" t="s">
        <v>367</v>
      </c>
      <c r="D11" s="11" t="s">
        <v>132</v>
      </c>
      <c r="E11" s="13" t="s">
        <v>256</v>
      </c>
      <c r="F11" s="72" t="n">
        <v>5</v>
      </c>
      <c r="G11" s="72" t="n">
        <v>5</v>
      </c>
      <c r="H11" s="72" t="n">
        <v>5</v>
      </c>
      <c r="I11" s="75" t="n">
        <f aca="false">AVERAGE(F11:H11)</f>
        <v>5</v>
      </c>
      <c r="J11" s="12" t="s">
        <v>381</v>
      </c>
    </row>
    <row r="12" customFormat="false" ht="48" hidden="false" customHeight="true" outlineLevel="0" collapsed="false">
      <c r="A12" s="5" t="s">
        <v>382</v>
      </c>
      <c r="B12" s="6" t="s">
        <v>383</v>
      </c>
      <c r="C12" s="50" t="s">
        <v>354</v>
      </c>
      <c r="D12" s="6" t="s">
        <v>268</v>
      </c>
      <c r="E12" s="8" t="s">
        <v>245</v>
      </c>
      <c r="F12" s="73" t="n">
        <v>4</v>
      </c>
      <c r="G12" s="73" t="n">
        <v>4</v>
      </c>
      <c r="H12" s="73" t="n">
        <v>4</v>
      </c>
      <c r="I12" s="84" t="n">
        <f aca="false">AVERAGE(F12:H12)</f>
        <v>4</v>
      </c>
      <c r="J12" s="7" t="s">
        <v>384</v>
      </c>
    </row>
    <row r="13" customFormat="false" ht="48" hidden="false" customHeight="true" outlineLevel="0" collapsed="false">
      <c r="A13" s="10" t="s">
        <v>385</v>
      </c>
      <c r="B13" s="11" t="s">
        <v>386</v>
      </c>
      <c r="C13" s="42" t="s">
        <v>359</v>
      </c>
      <c r="D13" s="11" t="s">
        <v>112</v>
      </c>
      <c r="E13" s="13" t="s">
        <v>248</v>
      </c>
      <c r="F13" s="72" t="n">
        <v>5</v>
      </c>
      <c r="G13" s="72" t="n">
        <v>5</v>
      </c>
      <c r="H13" s="72" t="n">
        <v>5</v>
      </c>
      <c r="I13" s="75" t="n">
        <f aca="false">AVERAGE(F13:H13)</f>
        <v>5</v>
      </c>
      <c r="J13" s="12" t="s">
        <v>387</v>
      </c>
    </row>
    <row r="14" customFormat="false" ht="48" hidden="false" customHeight="true" outlineLevel="0" collapsed="false">
      <c r="A14" s="5" t="s">
        <v>388</v>
      </c>
      <c r="B14" s="6" t="s">
        <v>389</v>
      </c>
      <c r="C14" s="50" t="s">
        <v>354</v>
      </c>
      <c r="D14" s="6" t="s">
        <v>103</v>
      </c>
      <c r="E14" s="8" t="s">
        <v>248</v>
      </c>
      <c r="F14" s="72" t="n">
        <v>5</v>
      </c>
      <c r="G14" s="72" t="n">
        <v>5</v>
      </c>
      <c r="H14" s="72" t="n">
        <v>5</v>
      </c>
      <c r="I14" s="84" t="n">
        <f aca="false">AVERAGE(F14:H14)</f>
        <v>5</v>
      </c>
      <c r="J14" s="7" t="s">
        <v>390</v>
      </c>
    </row>
    <row r="15" customFormat="false" ht="48" hidden="false" customHeight="true" outlineLevel="0" collapsed="false">
      <c r="A15" s="10" t="s">
        <v>391</v>
      </c>
      <c r="B15" s="11" t="s">
        <v>392</v>
      </c>
      <c r="C15" s="20" t="s">
        <v>367</v>
      </c>
      <c r="D15" s="11" t="s">
        <v>31</v>
      </c>
      <c r="E15" s="13" t="s">
        <v>250</v>
      </c>
      <c r="F15" s="73" t="n">
        <v>4</v>
      </c>
      <c r="G15" s="72" t="n">
        <v>5</v>
      </c>
      <c r="H15" s="72" t="n">
        <v>5</v>
      </c>
      <c r="I15" s="75" t="n">
        <f aca="false">AVERAGE(F15:H15)</f>
        <v>4.66666666666667</v>
      </c>
      <c r="J15" s="12" t="s">
        <v>393</v>
      </c>
    </row>
    <row r="16" customFormat="false" ht="48" hidden="false" customHeight="true" outlineLevel="0" collapsed="false">
      <c r="A16" s="5" t="s">
        <v>394</v>
      </c>
      <c r="B16" s="6" t="s">
        <v>395</v>
      </c>
      <c r="C16" s="50" t="s">
        <v>354</v>
      </c>
      <c r="D16" s="6" t="s">
        <v>25</v>
      </c>
      <c r="E16" s="8" t="s">
        <v>250</v>
      </c>
      <c r="F16" s="72" t="n">
        <v>5</v>
      </c>
      <c r="G16" s="72" t="n">
        <v>5</v>
      </c>
      <c r="H16" s="72" t="n">
        <v>5</v>
      </c>
      <c r="I16" s="84" t="n">
        <f aca="false">AVERAGE(F16:H16)</f>
        <v>5</v>
      </c>
      <c r="J16" s="7" t="s">
        <v>396</v>
      </c>
    </row>
    <row r="17" customFormat="false" ht="48" hidden="false" customHeight="true" outlineLevel="0" collapsed="false">
      <c r="A17" s="10" t="s">
        <v>397</v>
      </c>
      <c r="B17" s="11" t="s">
        <v>398</v>
      </c>
      <c r="C17" s="42" t="s">
        <v>359</v>
      </c>
      <c r="D17" s="11" t="s">
        <v>41</v>
      </c>
      <c r="E17" s="13" t="s">
        <v>252</v>
      </c>
      <c r="F17" s="72" t="n">
        <v>5</v>
      </c>
      <c r="G17" s="72" t="n">
        <v>5</v>
      </c>
      <c r="H17" s="72" t="n">
        <v>5</v>
      </c>
      <c r="I17" s="75" t="n">
        <f aca="false">AVERAGE(F17:H17)</f>
        <v>5</v>
      </c>
      <c r="J17" s="12" t="s">
        <v>399</v>
      </c>
    </row>
    <row r="18" customFormat="false" ht="48" hidden="false" customHeight="true" outlineLevel="0" collapsed="false">
      <c r="A18" s="5" t="s">
        <v>400</v>
      </c>
      <c r="B18" s="6" t="s">
        <v>401</v>
      </c>
      <c r="C18" s="50" t="s">
        <v>354</v>
      </c>
      <c r="D18" s="6" t="s">
        <v>127</v>
      </c>
      <c r="E18" s="8" t="s">
        <v>252</v>
      </c>
      <c r="F18" s="73" t="n">
        <v>4</v>
      </c>
      <c r="G18" s="72" t="n">
        <v>5</v>
      </c>
      <c r="H18" s="72" t="n">
        <v>5</v>
      </c>
      <c r="I18" s="84" t="n">
        <f aca="false">AVERAGE(F18:H18)</f>
        <v>4.66666666666667</v>
      </c>
      <c r="J18" s="7" t="s">
        <v>402</v>
      </c>
    </row>
    <row r="19" customFormat="false" ht="15" hidden="false" customHeight="true" outlineLevel="0" collapsed="false">
      <c r="B19" s="23" t="s">
        <v>335</v>
      </c>
      <c r="F19" s="77" t="n">
        <f aca="false">AVERAGE(F4:F18)</f>
        <v>4.6</v>
      </c>
      <c r="G19" s="77" t="n">
        <f aca="false">AVERAGE(G4:G18)</f>
        <v>4.86666666666667</v>
      </c>
      <c r="H19" s="77" t="n">
        <f aca="false">AVERAGE(H4:H18)</f>
        <v>4.86666666666667</v>
      </c>
      <c r="I19" s="77" t="n">
        <f aca="false">AVERAGE(I4:I18)</f>
        <v>4.77777777777778</v>
      </c>
    </row>
    <row r="21" customFormat="false" ht="15" hidden="false" customHeight="true" outlineLevel="0" collapsed="false">
      <c r="A21" s="51" t="s">
        <v>403</v>
      </c>
      <c r="B21" s="51"/>
      <c r="C21" s="51"/>
    </row>
    <row r="22" customFormat="false" ht="15" hidden="false" customHeight="true" outlineLevel="0" collapsed="false">
      <c r="A22" s="53" t="s">
        <v>139</v>
      </c>
      <c r="B22" s="53" t="s">
        <v>404</v>
      </c>
      <c r="C22" s="53" t="s">
        <v>405</v>
      </c>
    </row>
    <row r="23" customFormat="false" ht="15" hidden="false" customHeight="true" outlineLevel="0" collapsed="false">
      <c r="A23" s="54" t="s">
        <v>354</v>
      </c>
      <c r="B23" s="55" t="n">
        <f aca="false">COUNTIF(C4:C18,A23)</f>
        <v>8</v>
      </c>
      <c r="C23" s="85" t="n">
        <f aca="false">AVERAGEIF(C4:C18,A23,I4:I18)</f>
        <v>4.66666666666667</v>
      </c>
    </row>
    <row r="24" customFormat="false" ht="15" hidden="false" customHeight="true" outlineLevel="0" collapsed="false">
      <c r="A24" s="58" t="s">
        <v>359</v>
      </c>
      <c r="B24" s="59" t="n">
        <f aca="false">COUNTIF(C4:C18,A24)</f>
        <v>4</v>
      </c>
      <c r="C24" s="86" t="n">
        <f aca="false">AVERAGEIF(C4:C18,A24,I4:I18)</f>
        <v>4.91666666666667</v>
      </c>
    </row>
    <row r="25" customFormat="false" ht="15" hidden="false" customHeight="true" outlineLevel="0" collapsed="false">
      <c r="A25" s="62" t="s">
        <v>367</v>
      </c>
      <c r="B25" s="63" t="n">
        <f aca="false">COUNTIF(C4:C18,A25)</f>
        <v>3</v>
      </c>
      <c r="C25" s="87" t="n">
        <f aca="false">AVERAGEIF(C4:C18,A25,I4:I18)</f>
        <v>4.88888888888889</v>
      </c>
    </row>
    <row r="27" customFormat="false" ht="15" hidden="false" customHeight="true" outlineLevel="0" collapsed="false">
      <c r="A27" s="78" t="s">
        <v>336</v>
      </c>
    </row>
    <row r="28" customFormat="false" ht="15" hidden="false" customHeight="true" outlineLevel="0" collapsed="false">
      <c r="A28" s="79" t="s">
        <v>337</v>
      </c>
    </row>
    <row r="29" customFormat="false" ht="15" hidden="false" customHeight="true" outlineLevel="0" collapsed="false">
      <c r="A29" s="80" t="s">
        <v>338</v>
      </c>
    </row>
    <row r="30" customFormat="false" ht="15" hidden="false" customHeight="true" outlineLevel="0" collapsed="false">
      <c r="A30" s="81" t="s">
        <v>339</v>
      </c>
    </row>
    <row r="31" customFormat="false" ht="15" hidden="false" customHeight="true" outlineLevel="0" collapsed="false">
      <c r="A31" s="82" t="s">
        <v>340</v>
      </c>
    </row>
  </sheetData>
  <mergeCells count="3">
    <mergeCell ref="A1:I1"/>
    <mergeCell ref="A2:I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18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2" t="s">
        <v>406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407</v>
      </c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2</v>
      </c>
      <c r="B3" s="4" t="s">
        <v>408</v>
      </c>
      <c r="C3" s="4" t="s">
        <v>7</v>
      </c>
      <c r="D3" s="4" t="s">
        <v>409</v>
      </c>
      <c r="E3" s="4" t="s">
        <v>410</v>
      </c>
      <c r="F3" s="4" t="s">
        <v>411</v>
      </c>
      <c r="G3" s="4" t="s">
        <v>238</v>
      </c>
      <c r="H3" s="4" t="s">
        <v>412</v>
      </c>
      <c r="I3" s="4" t="s">
        <v>145</v>
      </c>
    </row>
    <row r="4" customFormat="false" ht="21.75" hidden="false" customHeight="true" outlineLevel="0" collapsed="false">
      <c r="A4" s="5" t="s">
        <v>10</v>
      </c>
      <c r="B4" s="6" t="s">
        <v>11</v>
      </c>
      <c r="C4" s="7" t="s">
        <v>14</v>
      </c>
      <c r="D4" s="49" t="n">
        <v>45</v>
      </c>
      <c r="E4" s="49" t="n">
        <v>38</v>
      </c>
      <c r="F4" s="88" t="n">
        <f aca="false">D4-E4-H4</f>
        <v>5</v>
      </c>
      <c r="G4" s="49" t="n">
        <v>3</v>
      </c>
      <c r="H4" s="49" t="n">
        <v>2</v>
      </c>
      <c r="I4" s="20" t="str">
        <f aca="false">IF(F4&lt;=0,"Sin Stock",IF(F4&lt;=3,"Stock Bajo","Disponible"))</f>
        <v>Disponible</v>
      </c>
    </row>
    <row r="5" customFormat="false" ht="21.75" hidden="false" customHeight="true" outlineLevel="0" collapsed="false">
      <c r="A5" s="10" t="s">
        <v>17</v>
      </c>
      <c r="B5" s="11" t="s">
        <v>18</v>
      </c>
      <c r="C5" s="12" t="s">
        <v>21</v>
      </c>
      <c r="D5" s="68" t="n">
        <v>30</v>
      </c>
      <c r="E5" s="68" t="n">
        <v>22</v>
      </c>
      <c r="F5" s="89" t="n">
        <f aca="false">D5-E5-H5</f>
        <v>6</v>
      </c>
      <c r="G5" s="68" t="n">
        <v>4</v>
      </c>
      <c r="H5" s="68" t="n">
        <v>2</v>
      </c>
      <c r="I5" s="20" t="str">
        <f aca="false">IF(F5&lt;=0,"Sin Stock",IF(F5&lt;=3,"Stock Bajo","Disponible"))</f>
        <v>Disponible</v>
      </c>
    </row>
    <row r="6" customFormat="false" ht="21.75" hidden="false" customHeight="true" outlineLevel="0" collapsed="false">
      <c r="A6" s="5" t="s">
        <v>24</v>
      </c>
      <c r="B6" s="6" t="s">
        <v>25</v>
      </c>
      <c r="C6" s="7" t="s">
        <v>21</v>
      </c>
      <c r="D6" s="49" t="n">
        <v>18</v>
      </c>
      <c r="E6" s="49" t="n">
        <v>12</v>
      </c>
      <c r="F6" s="88" t="n">
        <f aca="false">D6-E6-H6</f>
        <v>5</v>
      </c>
      <c r="G6" s="49" t="n">
        <v>2</v>
      </c>
      <c r="H6" s="49" t="n">
        <v>1</v>
      </c>
      <c r="I6" s="20" t="str">
        <f aca="false">IF(F6&lt;=0,"Sin Stock",IF(F6&lt;=3,"Stock Bajo","Disponible"))</f>
        <v>Disponible</v>
      </c>
    </row>
    <row r="7" customFormat="false" ht="21.75" hidden="false" customHeight="true" outlineLevel="0" collapsed="false">
      <c r="A7" s="10" t="s">
        <v>30</v>
      </c>
      <c r="B7" s="11" t="s">
        <v>31</v>
      </c>
      <c r="C7" s="12" t="s">
        <v>14</v>
      </c>
      <c r="D7" s="68" t="n">
        <v>22</v>
      </c>
      <c r="E7" s="68" t="n">
        <v>18</v>
      </c>
      <c r="F7" s="89" t="n">
        <f aca="false">D7-E7-H7</f>
        <v>2</v>
      </c>
      <c r="G7" s="68" t="n">
        <v>5</v>
      </c>
      <c r="H7" s="68" t="n">
        <v>2</v>
      </c>
      <c r="I7" s="30" t="str">
        <f aca="false">IF(F7&lt;=0,"Sin Stock",IF(F7&lt;=3,"Stock Bajo","Disponible"))</f>
        <v>Stock Bajo</v>
      </c>
    </row>
    <row r="8" customFormat="false" ht="21.75" hidden="false" customHeight="true" outlineLevel="0" collapsed="false">
      <c r="A8" s="5" t="s">
        <v>35</v>
      </c>
      <c r="B8" s="6" t="s">
        <v>36</v>
      </c>
      <c r="C8" s="7" t="s">
        <v>21</v>
      </c>
      <c r="D8" s="49" t="n">
        <v>16</v>
      </c>
      <c r="E8" s="49" t="n">
        <v>10</v>
      </c>
      <c r="F8" s="88" t="n">
        <f aca="false">D8-E8-H8</f>
        <v>6</v>
      </c>
      <c r="G8" s="49" t="n">
        <v>2</v>
      </c>
      <c r="H8" s="49" t="n">
        <v>0</v>
      </c>
      <c r="I8" s="20" t="str">
        <f aca="false">IF(F8&lt;=0,"Sin Stock",IF(F8&lt;=3,"Stock Bajo","Disponible"))</f>
        <v>Disponible</v>
      </c>
    </row>
    <row r="9" customFormat="false" ht="21.75" hidden="false" customHeight="true" outlineLevel="0" collapsed="false">
      <c r="A9" s="10" t="s">
        <v>40</v>
      </c>
      <c r="B9" s="11" t="s">
        <v>41</v>
      </c>
      <c r="C9" s="12" t="s">
        <v>43</v>
      </c>
      <c r="D9" s="68" t="n">
        <v>12</v>
      </c>
      <c r="E9" s="68" t="n">
        <v>9</v>
      </c>
      <c r="F9" s="89" t="n">
        <f aca="false">D9-E9-H9</f>
        <v>2</v>
      </c>
      <c r="G9" s="68" t="n">
        <v>2</v>
      </c>
      <c r="H9" s="68" t="n">
        <v>1</v>
      </c>
      <c r="I9" s="30" t="str">
        <f aca="false">IF(F9&lt;=0,"Sin Stock",IF(F9&lt;=3,"Stock Bajo","Disponible"))</f>
        <v>Stock Bajo</v>
      </c>
    </row>
    <row r="10" customFormat="false" ht="21.75" hidden="false" customHeight="true" outlineLevel="0" collapsed="false">
      <c r="A10" s="5" t="s">
        <v>46</v>
      </c>
      <c r="B10" s="6" t="s">
        <v>47</v>
      </c>
      <c r="C10" s="7" t="s">
        <v>21</v>
      </c>
      <c r="D10" s="49" t="n">
        <v>25</v>
      </c>
      <c r="E10" s="49" t="n">
        <v>20</v>
      </c>
      <c r="F10" s="88" t="n">
        <f aca="false">D10-E10-H10</f>
        <v>3</v>
      </c>
      <c r="G10" s="49" t="n">
        <v>3</v>
      </c>
      <c r="H10" s="49" t="n">
        <v>2</v>
      </c>
      <c r="I10" s="30" t="str">
        <f aca="false">IF(F10&lt;=0,"Sin Stock",IF(F10&lt;=3,"Stock Bajo","Disponible"))</f>
        <v>Stock Bajo</v>
      </c>
    </row>
    <row r="11" customFormat="false" ht="21.75" hidden="false" customHeight="true" outlineLevel="0" collapsed="false">
      <c r="A11" s="10" t="s">
        <v>51</v>
      </c>
      <c r="B11" s="11" t="s">
        <v>52</v>
      </c>
      <c r="C11" s="12" t="s">
        <v>14</v>
      </c>
      <c r="D11" s="68" t="n">
        <v>60</v>
      </c>
      <c r="E11" s="68" t="n">
        <v>52</v>
      </c>
      <c r="F11" s="89" t="n">
        <f aca="false">D11-E11-H11</f>
        <v>4</v>
      </c>
      <c r="G11" s="68" t="n">
        <v>8</v>
      </c>
      <c r="H11" s="68" t="n">
        <v>4</v>
      </c>
      <c r="I11" s="20" t="str">
        <f aca="false">IF(F11&lt;=0,"Sin Stock",IF(F11&lt;=3,"Stock Bajo","Disponible"))</f>
        <v>Disponible</v>
      </c>
    </row>
    <row r="12" customFormat="false" ht="21.75" hidden="false" customHeight="true" outlineLevel="0" collapsed="false">
      <c r="A12" s="5" t="s">
        <v>55</v>
      </c>
      <c r="B12" s="6" t="s">
        <v>56</v>
      </c>
      <c r="C12" s="7" t="s">
        <v>21</v>
      </c>
      <c r="D12" s="49" t="n">
        <v>28</v>
      </c>
      <c r="E12" s="49" t="n">
        <v>22</v>
      </c>
      <c r="F12" s="88" t="n">
        <f aca="false">D12-E12-H12</f>
        <v>4</v>
      </c>
      <c r="G12" s="49" t="n">
        <v>4</v>
      </c>
      <c r="H12" s="49" t="n">
        <v>2</v>
      </c>
      <c r="I12" s="20" t="str">
        <f aca="false">IF(F12&lt;=0,"Sin Stock",IF(F12&lt;=3,"Stock Bajo","Disponible"))</f>
        <v>Disponible</v>
      </c>
    </row>
    <row r="13" customFormat="false" ht="21.75" hidden="false" customHeight="true" outlineLevel="0" collapsed="false">
      <c r="A13" s="10" t="s">
        <v>59</v>
      </c>
      <c r="B13" s="11" t="s">
        <v>60</v>
      </c>
      <c r="C13" s="12" t="s">
        <v>62</v>
      </c>
      <c r="D13" s="68" t="n">
        <v>80</v>
      </c>
      <c r="E13" s="68" t="n">
        <v>68</v>
      </c>
      <c r="F13" s="89" t="n">
        <f aca="false">D13-E13-H13</f>
        <v>7</v>
      </c>
      <c r="G13" s="68" t="n">
        <v>10</v>
      </c>
      <c r="H13" s="68" t="n">
        <v>5</v>
      </c>
      <c r="I13" s="20" t="str">
        <f aca="false">IF(F13&lt;=0,"Sin Stock",IF(F13&lt;=3,"Stock Bajo","Disponible"))</f>
        <v>Disponible</v>
      </c>
    </row>
    <row r="14" customFormat="false" ht="21.75" hidden="false" customHeight="true" outlineLevel="0" collapsed="false">
      <c r="A14" s="5" t="s">
        <v>65</v>
      </c>
      <c r="B14" s="6" t="s">
        <v>66</v>
      </c>
      <c r="C14" s="7" t="s">
        <v>14</v>
      </c>
      <c r="D14" s="49" t="n">
        <v>20</v>
      </c>
      <c r="E14" s="49" t="n">
        <v>14</v>
      </c>
      <c r="F14" s="88" t="n">
        <f aca="false">D14-E14-H14</f>
        <v>5</v>
      </c>
      <c r="G14" s="49" t="n">
        <v>3</v>
      </c>
      <c r="H14" s="49" t="n">
        <v>1</v>
      </c>
      <c r="I14" s="20" t="str">
        <f aca="false">IF(F14&lt;=0,"Sin Stock",IF(F14&lt;=3,"Stock Bajo","Disponible"))</f>
        <v>Disponible</v>
      </c>
    </row>
    <row r="15" customFormat="false" ht="21.75" hidden="false" customHeight="true" outlineLevel="0" collapsed="false">
      <c r="A15" s="10" t="s">
        <v>70</v>
      </c>
      <c r="B15" s="11" t="s">
        <v>71</v>
      </c>
      <c r="C15" s="12" t="s">
        <v>21</v>
      </c>
      <c r="D15" s="68" t="n">
        <v>15</v>
      </c>
      <c r="E15" s="68" t="n">
        <v>10</v>
      </c>
      <c r="F15" s="89" t="n">
        <f aca="false">D15-E15-H15</f>
        <v>4</v>
      </c>
      <c r="G15" s="68" t="n">
        <v>2</v>
      </c>
      <c r="H15" s="68" t="n">
        <v>1</v>
      </c>
      <c r="I15" s="20" t="str">
        <f aca="false">IF(F15&lt;=0,"Sin Stock",IF(F15&lt;=3,"Stock Bajo","Disponible"))</f>
        <v>Disponible</v>
      </c>
    </row>
    <row r="16" customFormat="false" ht="21.75" hidden="false" customHeight="true" outlineLevel="0" collapsed="false">
      <c r="A16" s="5" t="s">
        <v>74</v>
      </c>
      <c r="B16" s="6" t="s">
        <v>75</v>
      </c>
      <c r="C16" s="7" t="s">
        <v>14</v>
      </c>
      <c r="D16" s="49" t="n">
        <v>18</v>
      </c>
      <c r="E16" s="49" t="n">
        <v>14</v>
      </c>
      <c r="F16" s="88" t="n">
        <f aca="false">D16-E16-H16</f>
        <v>3</v>
      </c>
      <c r="G16" s="49" t="n">
        <v>2</v>
      </c>
      <c r="H16" s="49" t="n">
        <v>1</v>
      </c>
      <c r="I16" s="30" t="str">
        <f aca="false">IF(F16&lt;=0,"Sin Stock",IF(F16&lt;=3,"Stock Bajo","Disponible"))</f>
        <v>Stock Bajo</v>
      </c>
    </row>
    <row r="17" customFormat="false" ht="21.75" hidden="false" customHeight="true" outlineLevel="0" collapsed="false">
      <c r="A17" s="10" t="s">
        <v>78</v>
      </c>
      <c r="B17" s="11" t="s">
        <v>79</v>
      </c>
      <c r="C17" s="12" t="s">
        <v>21</v>
      </c>
      <c r="D17" s="68" t="n">
        <v>22</v>
      </c>
      <c r="E17" s="68" t="n">
        <v>16</v>
      </c>
      <c r="F17" s="89" t="n">
        <f aca="false">D17-E17-H17</f>
        <v>5</v>
      </c>
      <c r="G17" s="68" t="n">
        <v>3</v>
      </c>
      <c r="H17" s="68" t="n">
        <v>1</v>
      </c>
      <c r="I17" s="20" t="str">
        <f aca="false">IF(F17&lt;=0,"Sin Stock",IF(F17&lt;=3,"Stock Bajo","Disponible"))</f>
        <v>Disponible</v>
      </c>
    </row>
    <row r="18" customFormat="false" ht="21.75" hidden="false" customHeight="true" outlineLevel="0" collapsed="false">
      <c r="A18" s="5" t="s">
        <v>82</v>
      </c>
      <c r="B18" s="6" t="s">
        <v>83</v>
      </c>
      <c r="C18" s="7" t="s">
        <v>62</v>
      </c>
      <c r="D18" s="49" t="n">
        <v>14</v>
      </c>
      <c r="E18" s="49" t="n">
        <v>10</v>
      </c>
      <c r="F18" s="88" t="n">
        <f aca="false">D18-E18-H18</f>
        <v>3</v>
      </c>
      <c r="G18" s="49" t="n">
        <v>2</v>
      </c>
      <c r="H18" s="49" t="n">
        <v>1</v>
      </c>
      <c r="I18" s="30" t="str">
        <f aca="false">IF(F18&lt;=0,"Sin Stock",IF(F18&lt;=3,"Stock Bajo","Disponible"))</f>
        <v>Stock Bajo</v>
      </c>
    </row>
    <row r="19" customFormat="false" ht="21.75" hidden="false" customHeight="true" outlineLevel="0" collapsed="false">
      <c r="A19" s="10" t="s">
        <v>86</v>
      </c>
      <c r="B19" s="11" t="s">
        <v>87</v>
      </c>
      <c r="C19" s="12" t="s">
        <v>89</v>
      </c>
      <c r="D19" s="68" t="n">
        <v>10</v>
      </c>
      <c r="E19" s="68" t="n">
        <v>6</v>
      </c>
      <c r="F19" s="89" t="n">
        <f aca="false">D19-E19-H19</f>
        <v>2</v>
      </c>
      <c r="G19" s="68" t="n">
        <v>4</v>
      </c>
      <c r="H19" s="68" t="n">
        <v>2</v>
      </c>
      <c r="I19" s="30" t="str">
        <f aca="false">IF(F19&lt;=0,"Sin Stock",IF(F19&lt;=3,"Stock Bajo","Disponible"))</f>
        <v>Stock Bajo</v>
      </c>
    </row>
    <row r="20" customFormat="false" ht="21.75" hidden="false" customHeight="true" outlineLevel="0" collapsed="false">
      <c r="A20" s="5" t="s">
        <v>92</v>
      </c>
      <c r="B20" s="6" t="s">
        <v>93</v>
      </c>
      <c r="C20" s="7" t="s">
        <v>89</v>
      </c>
      <c r="D20" s="49" t="n">
        <v>8</v>
      </c>
      <c r="E20" s="49" t="n">
        <v>4</v>
      </c>
      <c r="F20" s="88" t="n">
        <f aca="false">D20-E20-H20</f>
        <v>3</v>
      </c>
      <c r="G20" s="49" t="n">
        <v>2</v>
      </c>
      <c r="H20" s="49" t="n">
        <v>1</v>
      </c>
      <c r="I20" s="30" t="str">
        <f aca="false">IF(F20&lt;=0,"Sin Stock",IF(F20&lt;=3,"Stock Bajo","Disponible"))</f>
        <v>Stock Bajo</v>
      </c>
    </row>
    <row r="21" customFormat="false" ht="21.75" hidden="false" customHeight="true" outlineLevel="0" collapsed="false">
      <c r="A21" s="10" t="s">
        <v>97</v>
      </c>
      <c r="B21" s="11" t="s">
        <v>98</v>
      </c>
      <c r="C21" s="12" t="s">
        <v>89</v>
      </c>
      <c r="D21" s="68" t="n">
        <v>10</v>
      </c>
      <c r="E21" s="68" t="n">
        <v>6</v>
      </c>
      <c r="F21" s="89" t="n">
        <f aca="false">D21-E21-H21</f>
        <v>2</v>
      </c>
      <c r="G21" s="68" t="n">
        <v>3</v>
      </c>
      <c r="H21" s="68" t="n">
        <v>2</v>
      </c>
      <c r="I21" s="30" t="str">
        <f aca="false">IF(F21&lt;=0,"Sin Stock",IF(F21&lt;=3,"Stock Bajo","Disponible"))</f>
        <v>Stock Bajo</v>
      </c>
    </row>
    <row r="22" customFormat="false" ht="21.75" hidden="false" customHeight="true" outlineLevel="0" collapsed="false">
      <c r="A22" s="5" t="s">
        <v>102</v>
      </c>
      <c r="B22" s="6" t="s">
        <v>103</v>
      </c>
      <c r="C22" s="7" t="s">
        <v>89</v>
      </c>
      <c r="D22" s="49" t="n">
        <v>6</v>
      </c>
      <c r="E22" s="49" t="n">
        <v>2</v>
      </c>
      <c r="F22" s="88" t="n">
        <f aca="false">D22-E22-H22</f>
        <v>3</v>
      </c>
      <c r="G22" s="49" t="n">
        <v>2</v>
      </c>
      <c r="H22" s="49" t="n">
        <v>1</v>
      </c>
      <c r="I22" s="30" t="str">
        <f aca="false">IF(F22&lt;=0,"Sin Stock",IF(F22&lt;=3,"Stock Bajo","Disponible"))</f>
        <v>Stock Bajo</v>
      </c>
    </row>
    <row r="23" customFormat="false" ht="21.75" hidden="false" customHeight="true" outlineLevel="0" collapsed="false">
      <c r="A23" s="10" t="s">
        <v>106</v>
      </c>
      <c r="B23" s="11" t="s">
        <v>268</v>
      </c>
      <c r="C23" s="12" t="s">
        <v>89</v>
      </c>
      <c r="D23" s="68" t="n">
        <v>12</v>
      </c>
      <c r="E23" s="68" t="n">
        <v>8</v>
      </c>
      <c r="F23" s="89" t="n">
        <f aca="false">D23-E23-H23</f>
        <v>3</v>
      </c>
      <c r="G23" s="68" t="n">
        <v>3</v>
      </c>
      <c r="H23" s="68" t="n">
        <v>1</v>
      </c>
      <c r="I23" s="30" t="str">
        <f aca="false">IF(F23&lt;=0,"Sin Stock",IF(F23&lt;=3,"Stock Bajo","Disponible"))</f>
        <v>Stock Bajo</v>
      </c>
    </row>
    <row r="24" customFormat="false" ht="21.75" hidden="false" customHeight="true" outlineLevel="0" collapsed="false">
      <c r="A24" s="5" t="s">
        <v>111</v>
      </c>
      <c r="B24" s="6" t="s">
        <v>112</v>
      </c>
      <c r="C24" s="7" t="s">
        <v>114</v>
      </c>
      <c r="D24" s="49" t="n">
        <v>20</v>
      </c>
      <c r="E24" s="49" t="n">
        <v>12</v>
      </c>
      <c r="F24" s="88" t="n">
        <f aca="false">D24-E24-H24</f>
        <v>5</v>
      </c>
      <c r="G24" s="49" t="n">
        <v>6</v>
      </c>
      <c r="H24" s="49" t="n">
        <v>3</v>
      </c>
      <c r="I24" s="20" t="str">
        <f aca="false">IF(F24&lt;=0,"Sin Stock",IF(F24&lt;=3,"Stock Bajo","Disponible"))</f>
        <v>Disponible</v>
      </c>
    </row>
    <row r="25" customFormat="false" ht="21.75" hidden="false" customHeight="true" outlineLevel="0" collapsed="false">
      <c r="A25" s="10" t="s">
        <v>117</v>
      </c>
      <c r="B25" s="11" t="s">
        <v>118</v>
      </c>
      <c r="C25" s="12" t="s">
        <v>114</v>
      </c>
      <c r="D25" s="68" t="n">
        <v>14</v>
      </c>
      <c r="E25" s="68" t="n">
        <v>8</v>
      </c>
      <c r="F25" s="89" t="n">
        <f aca="false">D25-E25-H25</f>
        <v>4</v>
      </c>
      <c r="G25" s="68" t="n">
        <v>4</v>
      </c>
      <c r="H25" s="68" t="n">
        <v>2</v>
      </c>
      <c r="I25" s="20" t="str">
        <f aca="false">IF(F25&lt;=0,"Sin Stock",IF(F25&lt;=3,"Stock Bajo","Disponible"))</f>
        <v>Disponible</v>
      </c>
    </row>
    <row r="26" customFormat="false" ht="21.75" hidden="false" customHeight="true" outlineLevel="0" collapsed="false">
      <c r="A26" s="5" t="s">
        <v>122</v>
      </c>
      <c r="B26" s="6" t="s">
        <v>123</v>
      </c>
      <c r="C26" s="7" t="s">
        <v>114</v>
      </c>
      <c r="D26" s="49" t="n">
        <v>50</v>
      </c>
      <c r="E26" s="49" t="n">
        <v>38</v>
      </c>
      <c r="F26" s="88" t="n">
        <f aca="false">D26-E26-H26</f>
        <v>8</v>
      </c>
      <c r="G26" s="49" t="n">
        <v>10</v>
      </c>
      <c r="H26" s="49" t="n">
        <v>4</v>
      </c>
      <c r="I26" s="20" t="str">
        <f aca="false">IF(F26&lt;=0,"Sin Stock",IF(F26&lt;=3,"Stock Bajo","Disponible"))</f>
        <v>Disponible</v>
      </c>
    </row>
    <row r="27" customFormat="false" ht="21.75" hidden="false" customHeight="true" outlineLevel="0" collapsed="false">
      <c r="A27" s="10" t="s">
        <v>126</v>
      </c>
      <c r="B27" s="11" t="s">
        <v>127</v>
      </c>
      <c r="C27" s="12" t="s">
        <v>89</v>
      </c>
      <c r="D27" s="68" t="n">
        <v>10</v>
      </c>
      <c r="E27" s="68" t="n">
        <v>6</v>
      </c>
      <c r="F27" s="89" t="n">
        <f aca="false">D27-E27-H27</f>
        <v>3</v>
      </c>
      <c r="G27" s="68" t="n">
        <v>2</v>
      </c>
      <c r="H27" s="68" t="n">
        <v>1</v>
      </c>
      <c r="I27" s="30" t="str">
        <f aca="false">IF(F27&lt;=0,"Sin Stock",IF(F27&lt;=3,"Stock Bajo","Disponible"))</f>
        <v>Stock Bajo</v>
      </c>
    </row>
    <row r="28" customFormat="false" ht="21.75" hidden="false" customHeight="true" outlineLevel="0" collapsed="false">
      <c r="A28" s="5" t="s">
        <v>131</v>
      </c>
      <c r="B28" s="6" t="s">
        <v>132</v>
      </c>
      <c r="C28" s="7" t="s">
        <v>114</v>
      </c>
      <c r="D28" s="49" t="n">
        <v>60</v>
      </c>
      <c r="E28" s="49" t="n">
        <v>48</v>
      </c>
      <c r="F28" s="88" t="n">
        <f aca="false">D28-E28-H28</f>
        <v>7</v>
      </c>
      <c r="G28" s="49" t="n">
        <v>12</v>
      </c>
      <c r="H28" s="49" t="n">
        <v>5</v>
      </c>
      <c r="I28" s="20" t="str">
        <f aca="false">IF(F28&lt;=0,"Sin Stock",IF(F28&lt;=3,"Stock Bajo","Disponible"))</f>
        <v>Disponible</v>
      </c>
    </row>
    <row r="29" customFormat="false" ht="15" hidden="false" customHeight="false" outlineLevel="0" collapsed="false">
      <c r="B29" s="23" t="s">
        <v>413</v>
      </c>
      <c r="D29" s="90" t="n">
        <f aca="false">SUM(D4:D28)</f>
        <v>625</v>
      </c>
      <c r="E29" s="90" t="n">
        <f aca="false">SUM(E4:E28)</f>
        <v>473</v>
      </c>
      <c r="F29" s="90" t="n">
        <f aca="false">SUM(F4:F28)</f>
        <v>104</v>
      </c>
      <c r="G29" s="90" t="n">
        <f aca="false">SUM(G4:G28)</f>
        <v>103</v>
      </c>
      <c r="H29" s="90" t="n">
        <f aca="false">SUM(H4:H28)</f>
        <v>48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48"/>
  </cols>
  <sheetData>
    <row r="1" customFormat="false" ht="31.5" hidden="false" customHeight="true" outlineLevel="0" collapsed="false">
      <c r="A1" s="2" t="s">
        <v>414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415</v>
      </c>
      <c r="B2" s="3"/>
      <c r="C2" s="3"/>
      <c r="D2" s="3"/>
      <c r="E2" s="3"/>
      <c r="F2" s="3"/>
      <c r="G2" s="3"/>
      <c r="H2" s="3"/>
    </row>
    <row r="3" customFormat="false" ht="24" hidden="false" customHeight="true" outlineLevel="0" collapsed="false">
      <c r="A3" s="4" t="s">
        <v>416</v>
      </c>
      <c r="B3" s="4" t="s">
        <v>417</v>
      </c>
      <c r="C3" s="4" t="s">
        <v>7</v>
      </c>
      <c r="D3" s="4" t="s">
        <v>418</v>
      </c>
      <c r="E3" s="4" t="s">
        <v>419</v>
      </c>
      <c r="F3" s="4" t="s">
        <v>420</v>
      </c>
      <c r="G3" s="4" t="s">
        <v>421</v>
      </c>
      <c r="H3" s="4" t="s">
        <v>422</v>
      </c>
    </row>
    <row r="4" customFormat="false" ht="31.5" hidden="false" customHeight="true" outlineLevel="0" collapsed="false">
      <c r="A4" s="5" t="s">
        <v>423</v>
      </c>
      <c r="B4" s="6" t="s">
        <v>424</v>
      </c>
      <c r="C4" s="50" t="s">
        <v>425</v>
      </c>
      <c r="D4" s="7" t="s">
        <v>426</v>
      </c>
      <c r="E4" s="7" t="s">
        <v>427</v>
      </c>
      <c r="F4" s="91" t="n">
        <v>25000</v>
      </c>
      <c r="G4" s="30" t="s">
        <v>219</v>
      </c>
      <c r="H4" s="7" t="s">
        <v>428</v>
      </c>
    </row>
    <row r="5" customFormat="false" ht="31.5" hidden="false" customHeight="true" outlineLevel="0" collapsed="false">
      <c r="A5" s="43" t="s">
        <v>429</v>
      </c>
      <c r="B5" s="45" t="s">
        <v>430</v>
      </c>
      <c r="C5" s="48" t="s">
        <v>431</v>
      </c>
      <c r="D5" s="44" t="s">
        <v>432</v>
      </c>
      <c r="E5" s="44" t="s">
        <v>433</v>
      </c>
      <c r="F5" s="92" t="n">
        <v>42000</v>
      </c>
      <c r="G5" s="36" t="s">
        <v>209</v>
      </c>
      <c r="H5" s="44" t="s">
        <v>434</v>
      </c>
    </row>
    <row r="6" customFormat="false" ht="31.5" hidden="false" customHeight="true" outlineLevel="0" collapsed="false">
      <c r="A6" s="43" t="s">
        <v>435</v>
      </c>
      <c r="B6" s="45" t="s">
        <v>436</v>
      </c>
      <c r="C6" s="48" t="s">
        <v>431</v>
      </c>
      <c r="D6" s="44" t="s">
        <v>437</v>
      </c>
      <c r="E6" s="44" t="s">
        <v>438</v>
      </c>
      <c r="F6" s="92" t="n">
        <v>18000</v>
      </c>
      <c r="G6" s="30" t="s">
        <v>219</v>
      </c>
      <c r="H6" s="44" t="s">
        <v>439</v>
      </c>
    </row>
    <row r="7" customFormat="false" ht="31.5" hidden="false" customHeight="true" outlineLevel="0" collapsed="false">
      <c r="A7" s="93" t="s">
        <v>440</v>
      </c>
      <c r="B7" s="94" t="s">
        <v>441</v>
      </c>
      <c r="C7" s="95" t="s">
        <v>442</v>
      </c>
      <c r="D7" s="96" t="s">
        <v>443</v>
      </c>
      <c r="E7" s="96" t="s">
        <v>444</v>
      </c>
      <c r="F7" s="97" t="n">
        <v>35000</v>
      </c>
      <c r="G7" s="36" t="s">
        <v>209</v>
      </c>
      <c r="H7" s="96" t="s">
        <v>445</v>
      </c>
    </row>
    <row r="8" customFormat="false" ht="31.5" hidden="false" customHeight="true" outlineLevel="0" collapsed="false">
      <c r="A8" s="37" t="s">
        <v>446</v>
      </c>
      <c r="B8" s="39" t="s">
        <v>447</v>
      </c>
      <c r="C8" s="42" t="s">
        <v>448</v>
      </c>
      <c r="D8" s="38" t="s">
        <v>449</v>
      </c>
      <c r="E8" s="38" t="s">
        <v>450</v>
      </c>
      <c r="F8" s="98" t="n">
        <v>8000</v>
      </c>
      <c r="G8" s="20" t="s">
        <v>243</v>
      </c>
      <c r="H8" s="38" t="s">
        <v>451</v>
      </c>
    </row>
    <row r="9" customFormat="false" ht="31.5" hidden="false" customHeight="true" outlineLevel="0" collapsed="false">
      <c r="A9" s="37" t="s">
        <v>452</v>
      </c>
      <c r="B9" s="39" t="s">
        <v>453</v>
      </c>
      <c r="C9" s="42" t="s">
        <v>448</v>
      </c>
      <c r="D9" s="38" t="s">
        <v>454</v>
      </c>
      <c r="E9" s="38" t="s">
        <v>455</v>
      </c>
      <c r="F9" s="98" t="n">
        <v>12000</v>
      </c>
      <c r="G9" s="20" t="s">
        <v>243</v>
      </c>
      <c r="H9" s="38" t="s">
        <v>456</v>
      </c>
    </row>
    <row r="10" customFormat="false" ht="31.5" hidden="false" customHeight="true" outlineLevel="0" collapsed="false">
      <c r="A10" s="5" t="s">
        <v>457</v>
      </c>
      <c r="B10" s="6" t="s">
        <v>458</v>
      </c>
      <c r="C10" s="50" t="s">
        <v>425</v>
      </c>
      <c r="D10" s="7" t="s">
        <v>459</v>
      </c>
      <c r="E10" s="7" t="s">
        <v>460</v>
      </c>
      <c r="F10" s="91" t="n">
        <v>14000</v>
      </c>
      <c r="G10" s="20" t="s">
        <v>243</v>
      </c>
      <c r="H10" s="7" t="s">
        <v>461</v>
      </c>
    </row>
    <row r="11" customFormat="false" ht="31.5" hidden="false" customHeight="true" outlineLevel="0" collapsed="false">
      <c r="A11" s="37" t="s">
        <v>462</v>
      </c>
      <c r="B11" s="39" t="s">
        <v>463</v>
      </c>
      <c r="C11" s="42" t="s">
        <v>448</v>
      </c>
      <c r="D11" s="38" t="s">
        <v>464</v>
      </c>
      <c r="E11" s="38" t="s">
        <v>465</v>
      </c>
      <c r="F11" s="98" t="n">
        <v>22000</v>
      </c>
      <c r="G11" s="36" t="s">
        <v>209</v>
      </c>
      <c r="H11" s="38" t="s">
        <v>466</v>
      </c>
    </row>
    <row r="12" customFormat="false" ht="31.5" hidden="false" customHeight="true" outlineLevel="0" collapsed="false">
      <c r="A12" s="5" t="s">
        <v>467</v>
      </c>
      <c r="B12" s="6" t="s">
        <v>468</v>
      </c>
      <c r="C12" s="50" t="s">
        <v>425</v>
      </c>
      <c r="D12" s="7" t="s">
        <v>469</v>
      </c>
      <c r="E12" s="7" t="s">
        <v>470</v>
      </c>
      <c r="F12" s="91" t="n">
        <v>16000</v>
      </c>
      <c r="G12" s="30" t="s">
        <v>219</v>
      </c>
      <c r="H12" s="7" t="s">
        <v>471</v>
      </c>
    </row>
    <row r="13" customFormat="false" ht="31.5" hidden="false" customHeight="true" outlineLevel="0" collapsed="false">
      <c r="A13" s="25" t="s">
        <v>472</v>
      </c>
      <c r="B13" s="27" t="s">
        <v>473</v>
      </c>
      <c r="C13" s="20" t="s">
        <v>474</v>
      </c>
      <c r="D13" s="26" t="s">
        <v>475</v>
      </c>
      <c r="E13" s="26" t="s">
        <v>476</v>
      </c>
      <c r="F13" s="99" t="n">
        <v>11000</v>
      </c>
      <c r="G13" s="20" t="s">
        <v>243</v>
      </c>
      <c r="H13" s="26" t="s">
        <v>477</v>
      </c>
    </row>
    <row r="14" customFormat="false" ht="31.5" hidden="false" customHeight="true" outlineLevel="0" collapsed="false">
      <c r="A14" s="25" t="s">
        <v>478</v>
      </c>
      <c r="B14" s="27" t="s">
        <v>479</v>
      </c>
      <c r="C14" s="20" t="s">
        <v>474</v>
      </c>
      <c r="D14" s="26" t="s">
        <v>480</v>
      </c>
      <c r="E14" s="26" t="s">
        <v>481</v>
      </c>
      <c r="F14" s="99" t="n">
        <v>28000</v>
      </c>
      <c r="G14" s="30" t="s">
        <v>219</v>
      </c>
      <c r="H14" s="26" t="s">
        <v>482</v>
      </c>
    </row>
    <row r="15" customFormat="false" ht="31.5" hidden="false" customHeight="true" outlineLevel="0" collapsed="false">
      <c r="A15" s="25" t="s">
        <v>483</v>
      </c>
      <c r="B15" s="27" t="s">
        <v>484</v>
      </c>
      <c r="C15" s="20" t="s">
        <v>474</v>
      </c>
      <c r="D15" s="26" t="s">
        <v>485</v>
      </c>
      <c r="E15" s="26" t="s">
        <v>486</v>
      </c>
      <c r="F15" s="99" t="n">
        <v>19000</v>
      </c>
      <c r="G15" s="30" t="s">
        <v>219</v>
      </c>
      <c r="H15" s="26" t="s">
        <v>487</v>
      </c>
    </row>
    <row r="16" customFormat="false" ht="31.5" hidden="false" customHeight="true" outlineLevel="0" collapsed="false">
      <c r="A16" s="43" t="s">
        <v>488</v>
      </c>
      <c r="B16" s="45" t="s">
        <v>489</v>
      </c>
      <c r="C16" s="48" t="s">
        <v>431</v>
      </c>
      <c r="D16" s="44" t="s">
        <v>490</v>
      </c>
      <c r="E16" s="44" t="s">
        <v>427</v>
      </c>
      <c r="F16" s="92" t="n">
        <v>30000</v>
      </c>
      <c r="G16" s="30" t="s">
        <v>219</v>
      </c>
      <c r="H16" s="44" t="s">
        <v>491</v>
      </c>
    </row>
    <row r="17" customFormat="false" ht="31.5" hidden="false" customHeight="true" outlineLevel="0" collapsed="false">
      <c r="A17" s="31" t="s">
        <v>492</v>
      </c>
      <c r="B17" s="33" t="s">
        <v>493</v>
      </c>
      <c r="C17" s="36" t="s">
        <v>494</v>
      </c>
      <c r="D17" s="32" t="s">
        <v>495</v>
      </c>
      <c r="E17" s="32" t="s">
        <v>496</v>
      </c>
      <c r="F17" s="100" t="n">
        <v>55000</v>
      </c>
      <c r="G17" s="36" t="s">
        <v>209</v>
      </c>
      <c r="H17" s="32" t="s">
        <v>497</v>
      </c>
    </row>
    <row r="18" customFormat="false" ht="31.5" hidden="false" customHeight="true" outlineLevel="0" collapsed="false">
      <c r="A18" s="5" t="s">
        <v>498</v>
      </c>
      <c r="B18" s="6" t="s">
        <v>499</v>
      </c>
      <c r="C18" s="50" t="s">
        <v>425</v>
      </c>
      <c r="D18" s="7" t="s">
        <v>500</v>
      </c>
      <c r="E18" s="7" t="s">
        <v>433</v>
      </c>
      <c r="F18" s="91" t="n">
        <v>20000</v>
      </c>
      <c r="G18" s="20" t="s">
        <v>243</v>
      </c>
      <c r="H18" s="7" t="s">
        <v>501</v>
      </c>
    </row>
    <row r="19" customFormat="false" ht="31.5" hidden="false" customHeight="true" outlineLevel="0" collapsed="false">
      <c r="A19" s="93" t="s">
        <v>502</v>
      </c>
      <c r="B19" s="94" t="s">
        <v>503</v>
      </c>
      <c r="C19" s="95" t="s">
        <v>442</v>
      </c>
      <c r="D19" s="96" t="s">
        <v>504</v>
      </c>
      <c r="E19" s="96" t="s">
        <v>444</v>
      </c>
      <c r="F19" s="97" t="n">
        <v>32000</v>
      </c>
      <c r="G19" s="36" t="s">
        <v>209</v>
      </c>
      <c r="H19" s="96" t="s">
        <v>505</v>
      </c>
    </row>
    <row r="20" customFormat="false" ht="31.5" hidden="false" customHeight="true" outlineLevel="0" collapsed="false">
      <c r="A20" s="101" t="s">
        <v>506</v>
      </c>
      <c r="B20" s="102" t="s">
        <v>507</v>
      </c>
      <c r="C20" s="103" t="s">
        <v>508</v>
      </c>
      <c r="D20" s="104" t="s">
        <v>509</v>
      </c>
      <c r="E20" s="104" t="s">
        <v>510</v>
      </c>
      <c r="F20" s="105" t="n">
        <v>6000</v>
      </c>
      <c r="G20" s="20" t="s">
        <v>243</v>
      </c>
      <c r="H20" s="104" t="s">
        <v>511</v>
      </c>
    </row>
    <row r="21" customFormat="false" ht="31.5" hidden="false" customHeight="true" outlineLevel="0" collapsed="false">
      <c r="A21" s="37" t="s">
        <v>512</v>
      </c>
      <c r="B21" s="39" t="s">
        <v>513</v>
      </c>
      <c r="C21" s="42" t="s">
        <v>448</v>
      </c>
      <c r="D21" s="38" t="s">
        <v>514</v>
      </c>
      <c r="E21" s="38" t="s">
        <v>438</v>
      </c>
      <c r="F21" s="98" t="n">
        <v>24000</v>
      </c>
      <c r="G21" s="30" t="s">
        <v>219</v>
      </c>
      <c r="H21" s="38" t="s">
        <v>515</v>
      </c>
    </row>
    <row r="22" customFormat="false" ht="31.5" hidden="false" customHeight="true" outlineLevel="0" collapsed="false">
      <c r="A22" s="101" t="s">
        <v>516</v>
      </c>
      <c r="B22" s="102" t="s">
        <v>517</v>
      </c>
      <c r="C22" s="103" t="s">
        <v>508</v>
      </c>
      <c r="D22" s="104" t="s">
        <v>480</v>
      </c>
      <c r="E22" s="104" t="s">
        <v>518</v>
      </c>
      <c r="F22" s="105" t="n">
        <v>15000</v>
      </c>
      <c r="G22" s="20" t="s">
        <v>243</v>
      </c>
      <c r="H22" s="104" t="s">
        <v>519</v>
      </c>
    </row>
    <row r="23" customFormat="false" ht="31.5" hidden="false" customHeight="true" outlineLevel="0" collapsed="false">
      <c r="A23" s="93" t="s">
        <v>520</v>
      </c>
      <c r="B23" s="94" t="s">
        <v>521</v>
      </c>
      <c r="C23" s="95" t="s">
        <v>442</v>
      </c>
      <c r="D23" s="96" t="s">
        <v>522</v>
      </c>
      <c r="E23" s="96" t="s">
        <v>438</v>
      </c>
      <c r="F23" s="97" t="n">
        <v>18000</v>
      </c>
      <c r="G23" s="30" t="s">
        <v>219</v>
      </c>
      <c r="H23" s="96" t="s">
        <v>523</v>
      </c>
    </row>
    <row r="25" customFormat="false" ht="36" hidden="false" customHeight="true" outlineLevel="0" collapsed="false">
      <c r="A25" s="106" t="s">
        <v>524</v>
      </c>
      <c r="B25" s="106"/>
      <c r="C25" s="106"/>
      <c r="D25" s="106"/>
      <c r="E25" s="106"/>
      <c r="F25" s="106"/>
      <c r="G25" s="106"/>
      <c r="H25" s="106"/>
    </row>
  </sheetData>
  <mergeCells count="3">
    <mergeCell ref="A1:H1"/>
    <mergeCell ref="A2:H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2026-05-19T22:50:55Z</dcterms:created>
  <dc:creator>openpyxl</dc:creator>
  <dc:description/>
  <dc:language>en-US</dc:language>
  <cp:lastModifiedBy/>
  <dcterms:modified xsi:type="dcterms:W3CDTF">2026-05-19T23:06:03Z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